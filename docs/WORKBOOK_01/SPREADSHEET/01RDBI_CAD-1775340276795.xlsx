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ontrol" sheetId="1" r:id="rId4"/>
    <sheet state="visible" name="D1.1 Web Forms" sheetId="2" r:id="rId5"/>
    <sheet state="visible" name="D1.2 Initial Inquiry No" sheetId="3" r:id="rId6"/>
    <sheet state="visible" name="D1.3 Received Request Record" sheetId="4" r:id="rId7"/>
    <sheet state="visible" name="T3.D1.3a Technical Intake" sheetId="5" r:id="rId8"/>
    <sheet state="visible" name="D1.4 Acknowledgement Email" sheetId="6" r:id="rId9"/>
    <sheet state="visible" name="D1.5 Meeting Time Proposal" sheetId="7" r:id="rId10"/>
    <sheet state="visible" name="D1.6 Calendar Invite &amp; Agenda" sheetId="8" r:id="rId11"/>
    <sheet state="visible" name="D1.7 Raw Meeting Notes" sheetId="9" r:id="rId12"/>
    <sheet state="visible" name="D1.8 Needs Assessment Notes" sheetId="10" r:id="rId13"/>
    <sheet state="visible" name="T3.D1.8a Physical Metrology &amp; M" sheetId="11" r:id="rId14"/>
    <sheet state="visible" name="D1.9 Internal Review Request" sheetId="12" r:id="rId15"/>
    <sheet state="visible" name="D1.10 Capability Assessment She" sheetId="13" r:id="rId16"/>
    <sheet state="visible" name="D1.11 RiskAssessment Sheet" sheetId="14" r:id="rId17"/>
    <sheet state="visible" name="D1.12 Feasibility Report" sheetId="15" r:id="rId18"/>
    <sheet state="visible" name="D1.13 Draft Scope of Work" sheetId="16" r:id="rId19"/>
    <sheet state="visible" name="D1.14 Cost Estimation" sheetId="17" r:id="rId20"/>
    <sheet state="visible" name="D1.15 Project Brief &amp; Draft Bud" sheetId="18" r:id="rId21"/>
    <sheet state="visible" name="T3.D1.15a Drafting SOW " sheetId="19" r:id="rId22"/>
    <sheet state="visible" name="D1.16 Hands Off Meeting" sheetId="20" r:id="rId23"/>
    <sheet state="visible" name="Aux. Invoice" sheetId="21" r:id="rId24"/>
  </sheets>
  <definedNames/>
  <calcPr/>
  <extLst>
    <ext uri="GoogleSheetsCustomDataVersion2">
      <go:sheetsCustomData xmlns:go="http://customooxmlschemas.google.com/" r:id="rId25" roundtripDataChecksum="AxipX0X5ANC/awesTKIPuqy8x55WVmwMbeA0mGXdlVo="/>
    </ext>
  </extLst>
</workbook>
</file>

<file path=xl/sharedStrings.xml><?xml version="1.0" encoding="utf-8"?>
<sst xmlns="http://schemas.openxmlformats.org/spreadsheetml/2006/main" count="1968" uniqueCount="904">
  <si>
    <t>Prepared by</t>
  </si>
  <si>
    <t>Tool title</t>
  </si>
  <si>
    <t>Date filled</t>
  </si>
  <si>
    <t>Quality Target</t>
  </si>
  <si>
    <t>Related Tool</t>
  </si>
  <si>
    <t>Role</t>
  </si>
  <si>
    <t>Project Reg. ID</t>
  </si>
  <si>
    <t>Time Started</t>
  </si>
  <si>
    <t>Bus. Target</t>
  </si>
  <si>
    <t>Qlty Delivery</t>
  </si>
  <si>
    <t>Prev. Sheet Ref</t>
  </si>
  <si>
    <t>Checked by</t>
  </si>
  <si>
    <t>Phase Name</t>
  </si>
  <si>
    <t>Time cmpltd</t>
  </si>
  <si>
    <t>Bus. Const</t>
  </si>
  <si>
    <t>Cost and Risk</t>
  </si>
  <si>
    <t>Next Sheet Ref</t>
  </si>
  <si>
    <t>IMHO GEN</t>
  </si>
  <si>
    <t>Org/Dept.</t>
  </si>
  <si>
    <t>R&amp;D and ED</t>
  </si>
  <si>
    <t>Activity Name</t>
  </si>
  <si>
    <t>Duration</t>
  </si>
  <si>
    <t>Iteration Num.</t>
  </si>
  <si>
    <t>Rev Reason</t>
  </si>
  <si>
    <t>IMHOGEN LTD</t>
  </si>
  <si>
    <t>Signature</t>
  </si>
  <si>
    <t>D.E.B</t>
  </si>
  <si>
    <t>Docu. ID</t>
  </si>
  <si>
    <t>Date Checked</t>
  </si>
  <si>
    <t>Change Dscrpt.</t>
  </si>
  <si>
    <t>Copyright IMHO GEN 2026.</t>
  </si>
  <si>
    <t>Sheet Version</t>
  </si>
  <si>
    <t>Date Approved</t>
  </si>
  <si>
    <t>All Rights Reserved</t>
  </si>
  <si>
    <t>Project Request ID</t>
  </si>
  <si>
    <t>DOCUMENT CONTROL</t>
  </si>
  <si>
    <t>Find link to source files</t>
  </si>
  <si>
    <t>DocID</t>
  </si>
  <si>
    <t>Document Title</t>
  </si>
  <si>
    <t>Link</t>
  </si>
  <si>
    <t>Description</t>
  </si>
  <si>
    <t>D1.1</t>
  </si>
  <si>
    <t>Client Email / Web Form</t>
  </si>
  <si>
    <t>➡️</t>
  </si>
  <si>
    <t>The form filled by a new client on the company's website</t>
  </si>
  <si>
    <t>D.1.2</t>
  </si>
  <si>
    <t>Initial Inquiry Notification</t>
  </si>
  <si>
    <t>The notification received and a pdf file through emails</t>
  </si>
  <si>
    <t>D1.3</t>
  </si>
  <si>
    <t>Received Request Record</t>
  </si>
  <si>
    <t>Recorded details of the project details</t>
  </si>
  <si>
    <t>D.1.4</t>
  </si>
  <si>
    <t>Acknowledgment Email</t>
  </si>
  <si>
    <t>Send standard acknowledgment email to the client stating.</t>
  </si>
  <si>
    <t>D.1.5</t>
  </si>
  <si>
    <t>Meeting Time Proposal</t>
  </si>
  <si>
    <t>Pre-analysis records and proposed meeting times</t>
  </si>
  <si>
    <t>D1.6</t>
  </si>
  <si>
    <t>Calendar Invite &amp; Agenda</t>
  </si>
  <si>
    <t>Link to calender invite and meeting agenda</t>
  </si>
  <si>
    <t>D.1.7</t>
  </si>
  <si>
    <t>Raw Meeting Notes</t>
  </si>
  <si>
    <t>Standard template for meeting notes</t>
  </si>
  <si>
    <t>D.1.8</t>
  </si>
  <si>
    <t>Needs Assessment Notes</t>
  </si>
  <si>
    <t>Needs assessments records</t>
  </si>
  <si>
    <t>T3.D1.8a</t>
  </si>
  <si>
    <t>3D Modeling Execution (Reverse Engineering)</t>
  </si>
  <si>
    <t>his is the "Field Sheet." It ensures that before a machine leaves your sight (or you leave the client's site), all physical dimensions and metadata are captured accurately.</t>
  </si>
  <si>
    <t>D1.9</t>
  </si>
  <si>
    <t>Internal Review Request</t>
  </si>
  <si>
    <t>Internal memo for requesting a review of the assessment made</t>
  </si>
  <si>
    <t>D.1.10</t>
  </si>
  <si>
    <t>Capability Assessment</t>
  </si>
  <si>
    <t>Reports on capability Assessment</t>
  </si>
  <si>
    <t>D.1.11</t>
  </si>
  <si>
    <t>Risk Assessment</t>
  </si>
  <si>
    <t>Reports on Risk Assessment</t>
  </si>
  <si>
    <t>D1.12</t>
  </si>
  <si>
    <t>Feasibility Report</t>
  </si>
  <si>
    <t>Written Feasibility Report</t>
  </si>
  <si>
    <t>D.1.13</t>
  </si>
  <si>
    <t>Draft Scope of Work</t>
  </si>
  <si>
    <t>Written project brief document</t>
  </si>
  <si>
    <t>D.1.14</t>
  </si>
  <si>
    <t>Cost Estimation Sheet</t>
  </si>
  <si>
    <t>Cost analysis and breakdown records</t>
  </si>
  <si>
    <t>D1.15</t>
  </si>
  <si>
    <t>Project Brief &amp; Draft Budget</t>
  </si>
  <si>
    <t>Records of hand</t>
  </si>
  <si>
    <t>D.1.16</t>
  </si>
  <si>
    <t>Handoff Meeting Minutes</t>
  </si>
  <si>
    <t>Records of handing over meeting with contract admin team</t>
  </si>
  <si>
    <t>D1</t>
  </si>
  <si>
    <t>Updated System Status</t>
  </si>
  <si>
    <t>The central meeting records</t>
  </si>
  <si>
    <t>T3.D1.3a</t>
  </si>
  <si>
    <t>Technical Intake (If CAD Request Form is selected, use T3-Series bypass sheets)</t>
  </si>
  <si>
    <t>This sheet acts as a "3D/Drafting specific" extension of the standard D1.3 Received Request Record.</t>
  </si>
  <si>
    <t>T3.D2.2a</t>
  </si>
  <si>
    <t>Drafting Contract Mapping</t>
  </si>
  <si>
    <t>Confidential Notice</t>
  </si>
  <si>
    <t>Client Name/Organization</t>
  </si>
  <si>
    <t>Description of Primary activities of Organizaiton</t>
  </si>
  <si>
    <t>Web Forms</t>
  </si>
  <si>
    <t>Doc Control</t>
  </si>
  <si>
    <t>D1.2</t>
  </si>
  <si>
    <t>R&amp;D and BI</t>
  </si>
  <si>
    <t>Web Form</t>
  </si>
  <si>
    <t>PROJECT REQUEST ID</t>
  </si>
  <si>
    <t>D1.1 Web Form Reference</t>
  </si>
  <si>
    <t>1.0 CLIENT SUBMISSION REFERENCE</t>
  </si>
  <si>
    <t>SN</t>
  </si>
  <si>
    <t>FORM TYPE</t>
  </si>
  <si>
    <t>DATE SUBMITTED</t>
  </si>
  <si>
    <t>CLIENT/ORG NAME</t>
  </si>
  <si>
    <t>DIRECT LINK</t>
  </si>
  <si>
    <t>STATUS</t>
  </si>
  <si>
    <t>NOTES</t>
  </si>
  <si>
    <t>Product Development Form</t>
  </si>
  <si>
    <t>CAD Request Form</t>
  </si>
  <si>
    <t>Syntropy Engineering Solutions</t>
  </si>
  <si>
    <t>Received</t>
  </si>
  <si>
    <t>Acknwoledgement email is being sent to  client.</t>
  </si>
  <si>
    <t>Process Development Form</t>
  </si>
  <si>
    <t>Engineering Support/Consultancy</t>
  </si>
  <si>
    <t>Others</t>
  </si>
  <si>
    <t>2.0 SUPPLEMENTARY UPLOADS (If applicable)</t>
  </si>
  <si>
    <t>DOCUMENT TYPE</t>
  </si>
  <si>
    <t>DATE UPLOADED</t>
  </si>
  <si>
    <t>PROVIDED BY</t>
  </si>
  <si>
    <t>DIRECT LINK TO FILE</t>
  </si>
  <si>
    <t xml:space="preserve"> NOTES</t>
  </si>
  <si>
    <t>C.Fiannaa</t>
  </si>
  <si>
    <t>Ops. Lead</t>
  </si>
  <si>
    <t>Onboarding</t>
  </si>
  <si>
    <t>Inquiry Receipt</t>
  </si>
  <si>
    <t>v1.0</t>
  </si>
  <si>
    <r>
      <rPr>
        <rFont val="Helvetica Neue"/>
        <color theme="1"/>
      </rPr>
      <t xml:space="preserve">PROJECT REQUEST ID: </t>
    </r>
    <r>
      <rPr>
        <rFont val="Helvetica Neue"/>
        <b/>
        <color theme="1"/>
      </rPr>
      <t>CAD-1775340276795</t>
    </r>
  </si>
  <si>
    <t>D1.2 INTITAL INQUIRY NOTIFICATION</t>
  </si>
  <si>
    <t>1.0 NOTIFICATION METADATA</t>
  </si>
  <si>
    <t>Notification Source (e.g. Web/Direct):</t>
  </si>
  <si>
    <t>Web (CAD Request Submission Form)</t>
  </si>
  <si>
    <t>Date Received</t>
  </si>
  <si>
    <t>Sender Email Address:</t>
  </si>
  <si>
    <t>dir@syntropyengineeringsolutionss.com</t>
  </si>
  <si>
    <t>Time Received</t>
  </si>
  <si>
    <t>Recipient (IMHOGEN) Address:</t>
  </si>
  <si>
    <t>IMHO GEN Official CAD Intake Channel (imhogen22@gmail.com)</t>
  </si>
  <si>
    <t>Subject Line</t>
  </si>
  <si>
    <t>CAD Request from Syntropy Engineering Solutions</t>
  </si>
  <si>
    <t>DIGITAL RECORDS REFERENCE</t>
  </si>
  <si>
    <t>FILE NAME/DESCRIPTION</t>
  </si>
  <si>
    <t>Patent Reference</t>
  </si>
  <si>
    <t>Patent sample drawing.jpeg</t>
  </si>
  <si>
    <t>Pantent sample drawing.jpeg</t>
  </si>
  <si>
    <t xml:space="preserve">Prototype image </t>
  </si>
  <si>
    <t>Prototype image 1.jpeg</t>
  </si>
  <si>
    <r>
      <rPr>
        <color rgb="FF1155CC"/>
        <u/>
      </rPr>
      <t>prototype image 1.jpeg</t>
    </r>
  </si>
  <si>
    <t>Prototype image 2.jpeg</t>
  </si>
  <si>
    <r>
      <rPr>
        <color rgb="FF1155CC"/>
        <u/>
      </rPr>
      <t>Prototype Image 2.jpeg</t>
    </r>
  </si>
  <si>
    <t>Prototype image 3.jpeg</t>
  </si>
  <si>
    <r>
      <rPr>
        <rFont val="-apple-system, BlinkMacSystemFont, &quot;Segoe UI&quot;, Roboto, Oxygen-Sans, Ubuntu, Cantarell, &quot;Helvetica Neue&quot;, sans-serif"/>
        <color rgb="FF1155CC"/>
        <sz val="11.0"/>
        <u/>
      </rPr>
      <t>Prototype image 3.jpeg</t>
    </r>
  </si>
  <si>
    <t>Prototype image 4.jpeg</t>
  </si>
  <si>
    <t>prototype image 4.jpeg</t>
  </si>
  <si>
    <t>Submission Record</t>
  </si>
  <si>
    <t>CAD Request Form Data</t>
  </si>
  <si>
    <r>
      <rPr>
        <color rgb="FF1155CC"/>
        <u/>
      </rPr>
      <t>Gmail - Fwd: New CAD Request from Syntropy Engineering Solutions</t>
    </r>
  </si>
  <si>
    <t>Logged</t>
  </si>
  <si>
    <t>3.0 PRELIMINARY TRIAGE (Spam / Relevance Filter - PID 1.1.2)</t>
  </si>
  <si>
    <t>Checklist Item</t>
  </si>
  <si>
    <t>Status (Pass/Fail)</t>
  </si>
  <si>
    <t>Reviewer Notes</t>
  </si>
  <si>
    <t>Is the notification readable and free of malicious links?</t>
  </si>
  <si>
    <t>PASS</t>
  </si>
  <si>
    <t>Structured submission via official form. No suspicious links detected.</t>
  </si>
  <si>
    <t>Does the request broadly align with IMHOGEN's services?</t>
  </si>
  <si>
    <t>Strong alignment with CAD modeling, engineering documentation, and product development.</t>
  </si>
  <si>
    <t>Is the contact information apparently valid and legible?</t>
  </si>
  <si>
    <t>Email contains spelling irregularities (“egineerinsolutionss”), but phone number and organization context appear valid. Requires verification. But correct email is obtained.</t>
  </si>
  <si>
    <t/>
  </si>
  <si>
    <t>TRIAGE DECISION:</t>
  </si>
  <si>
    <r>
      <rPr>
        <rFont val="Helvetica Neue"/>
        <color theme="1"/>
      </rPr>
      <t>[</t>
    </r>
    <r>
      <rPr>
        <rFont val="Helvetica Neue"/>
        <b/>
        <color rgb="FF4285F4"/>
      </rPr>
      <t xml:space="preserve">PROCEED TO D1.3 (Technical Intake) </t>
    </r>
    <r>
      <rPr>
        <rFont val="Helvetica Neue"/>
        <color theme="1"/>
      </rPr>
      <t>/ REJECT AS SPAM]</t>
    </r>
  </si>
  <si>
    <t xml:space="preserve">Email anomaly detected: Recommend contact verification before contract stage
Client located in Suame Magazine:  strategic cluster relevance
Request involves IP/patent documentation:  Signaling High-value + Sensitive Work
Attachments provided: Sufficient for initial intake progression
</t>
  </si>
  <si>
    <t>General engineering fabrication, machining services, and product innovation focused on prototype development within the Suame Magazine industrial cluster.</t>
  </si>
  <si>
    <t>D1.4</t>
  </si>
  <si>
    <r>
      <rPr>
        <rFont val="Helvetica Neue"/>
        <color theme="1"/>
      </rPr>
      <t xml:space="preserve">PROJECT REQUEST ID: </t>
    </r>
    <r>
      <rPr>
        <rFont val="Helvetica Neue"/>
        <b/>
        <color theme="1"/>
      </rPr>
      <t>CAD-1775340276795</t>
    </r>
  </si>
  <si>
    <t>D1.3 RECEIVED REQUEST RECORD (Universal Translation)</t>
  </si>
  <si>
    <t>1.0 CLIENT &amp; PROJECT METADATA</t>
  </si>
  <si>
    <t>Request Source Form:</t>
  </si>
  <si>
    <t>https://utfs.io/f/dhn4pYX1fjPsgIdTpoiN7TkPLH5ItxNhDSQYb8uafUiO2CoW</t>
  </si>
  <si>
    <t>Client Name:</t>
  </si>
  <si>
    <t>Frederick Opoku</t>
  </si>
  <si>
    <t>Project/Product Name:</t>
  </si>
  <si>
    <t>CAD-1775340276795</t>
  </si>
  <si>
    <t>Company Name:</t>
  </si>
  <si>
    <t>Target Budget (if stated):</t>
  </si>
  <si>
    <t>None</t>
  </si>
  <si>
    <t>Contact Info:</t>
  </si>
  <si>
    <t>Target Timeline:</t>
  </si>
  <si>
    <t>5 worrking days</t>
  </si>
  <si>
    <t>Physical Address:</t>
  </si>
  <si>
    <t>Suame Magazine</t>
  </si>
  <si>
    <t>2.0 CORE OBJECTIVES &amp; SCOPE (Client's Stated Vision)</t>
  </si>
  <si>
    <t>Primary Purpose / Business Goal:</t>
  </si>
  <si>
    <t>To develop accurate engineering documentation of an existing prototype for Intellectual Property (IP) / Patent Registration, ensuring compliance with patent office illustration standards.</t>
  </si>
  <si>
    <t>Main Deliverables Requested:</t>
  </si>
  <si>
    <t>3D CAD Model of the prototype
Patent-compliant technical drawings (line illustrations)
Technical drawing package (dimensions &amp; views)
Rendered images for visualization
Multi-format outputs (SVG, AI, EPS, PDF, STEP)</t>
  </si>
  <si>
    <t>Specific Constraints Noted:</t>
  </si>
  <si>
    <t>All outputs must strictly match the prototype (no design changes)
Visual style must replicate patent office sample drawing provided
No additional features or redesign required
Limited source data (images only, no dimensions provided)
No periodic drafts requested (internal risk consideration)</t>
  </si>
  <si>
    <t>3.0 SYSTEMS ENGINEERING TRANSLATION (Fill N/A if not applicable to request type)</t>
  </si>
  <si>
    <t>INPUT OPERANDS</t>
  </si>
  <si>
    <t>OUTPUT OPERANDS</t>
  </si>
  <si>
    <t>M</t>
  </si>
  <si>
    <t>Existing physical prototype (mechanical assembly)
Prototype images (multiple views)</t>
  </si>
  <si>
    <t>Digitized 3D CAD model
Structured geometric representation of the product</t>
  </si>
  <si>
    <t>E</t>
  </si>
  <si>
    <t>N/A</t>
  </si>
  <si>
    <t>I</t>
  </si>
  <si>
    <t>Patent sample drawing (format reference)
Client instructions and constraints
Visual interpretation from images</t>
  </si>
  <si>
    <t>Engineering drawings (ISO + patent format)
Dimensional data and annotations
Documentation for IP submission</t>
  </si>
  <si>
    <t>L</t>
  </si>
  <si>
    <t>3.3 OPERATORS (The System Environment)</t>
  </si>
  <si>
    <t>Human System:</t>
  </si>
  <si>
    <t>[Who interacts with it?]</t>
  </si>
  <si>
    <t>Information System:</t>
  </si>
  <si>
    <t>[Software/Data integration?]</t>
  </si>
  <si>
    <t>Technical System:</t>
  </si>
  <si>
    <t>[Required machinery/tools?]</t>
  </si>
  <si>
    <t>Management System:</t>
  </si>
  <si>
    <t>[Maintenance/Lifespan goals?]</t>
  </si>
  <si>
    <t>Active Environment:</t>
  </si>
  <si>
    <t>[Indoor/Outdoor/Constraints?]</t>
  </si>
  <si>
    <t>Technical Notes</t>
  </si>
  <si>
    <t>Assignee</t>
  </si>
  <si>
    <t>Status</t>
  </si>
  <si>
    <t>This is a Reverse Engineering + IP Documentation Project</t>
  </si>
  <si>
    <t>Requires measurement validation before modeling finalization</t>
  </si>
  <si>
    <t>No draft policy from client → internally override with validation checkpoint</t>
  </si>
  <si>
    <t>High strategic value due to Suame Magazine ecosystem alignment</t>
  </si>
  <si>
    <t>T3 Technical Intake (Drafting)</t>
  </si>
  <si>
    <t>T3.D2.2</t>
  </si>
  <si>
    <t>Input Accuracy</t>
  </si>
  <si>
    <t>Technical Intake</t>
  </si>
  <si>
    <t>Tier 3 Fast-Track</t>
  </si>
  <si>
    <r>
      <rPr>
        <rFont val="Helvetica Neue"/>
        <color theme="1"/>
      </rPr>
      <t xml:space="preserve">PROJECT REQUEST ID: </t>
    </r>
    <r>
      <rPr>
        <rFont val="Helvetica Neue"/>
        <b/>
        <color theme="1"/>
      </rPr>
      <t>CAD-1775340276795</t>
    </r>
  </si>
  <si>
    <t>T3.D1.3a Technical Intake</t>
  </si>
  <si>
    <t>1.0 SOURCE ASSET EVALUATION (The Input)</t>
  </si>
  <si>
    <t>Asset Type</t>
  </si>
  <si>
    <t>Format/Description</t>
  </si>
  <si>
    <t>Condition</t>
  </si>
  <si>
    <t>Action Required</t>
  </si>
  <si>
    <t>Notes</t>
  </si>
  <si>
    <t>Existing 3D Model</t>
  </si>
  <si>
    <t>Not Provided</t>
  </si>
  <si>
    <t>Model from Scratch</t>
  </si>
  <si>
    <t>No baseline CAD data available. Full reconstruction required.</t>
  </si>
  <si>
    <t>Physical Part</t>
  </si>
  <si>
    <t>Prototype Provided
(images only)</t>
  </si>
  <si>
    <t>Working Prototype</t>
  </si>
  <si>
    <t>Site Visit for Measurement</t>
  </si>
  <si>
    <t>Critical to obtain accurate dimensions. Image-based estimation alone is insufficient for patent-level documentation.</t>
  </si>
  <si>
    <t>2D Legacy PDF</t>
  </si>
  <si>
    <t>Patent Office Sample Drawing (Image Format)</t>
  </si>
  <si>
    <t>Reference Standard Only</t>
  </si>
  <si>
    <t>Interpret &amp; Replicate Format</t>
  </si>
  <si>
    <t xml:space="preserve">Must strictly follow patent illustration conventions (line weights, views, no shading).
</t>
  </si>
  <si>
    <t>Reference Images</t>
  </si>
  <si>
    <t>Multiple Prototype Images (JPEG)</t>
  </si>
  <si>
    <t>Moderate Clarity</t>
  </si>
  <si>
    <t>Reverse Engineering</t>
  </si>
  <si>
    <t>Images will guide geometry but not dimensions. Risk of distortion.</t>
  </si>
  <si>
    <t>Technical Specs</t>
  </si>
  <si>
    <t>General instruction from client</t>
  </si>
  <si>
    <t>Limited Detail</t>
  </si>
  <si>
    <t>Define Assumptions + Validate</t>
  </si>
  <si>
    <t>Missing explicit dimensions and tolerances. Requires clarification or controlled assumptions.</t>
  </si>
  <si>
    <t>2.0 DRAFTING SPECIFICATIONS (The Output)</t>
  </si>
  <si>
    <t>Requirement</t>
  </si>
  <si>
    <t>Standard (ISO/ASME)</t>
  </si>
  <si>
    <t>Tolerance Class</t>
  </si>
  <si>
    <t>File Format</t>
  </si>
  <si>
    <t>Manufacturing Dwgs</t>
  </si>
  <si>
    <t>ISO 128</t>
  </si>
  <si>
    <t>Medium (m)</t>
  </si>
  <si>
    <t>PDF &amp; DXF</t>
  </si>
  <si>
    <t>Ensure clarity for fabrication if required in future.</t>
  </si>
  <si>
    <t>Assembly Dwgs</t>
  </si>
  <si>
    <t>PDF</t>
  </si>
  <si>
    <t>Exploded views may be required depending on complexity.</t>
  </si>
  <si>
    <t>3D Model Output</t>
  </si>
  <si>
    <t>STEP / PDF/PNG</t>
  </si>
  <si>
    <t>Parametric model required for future edits and reuse.</t>
  </si>
  <si>
    <t>Paternt Drawings</t>
  </si>
  <si>
    <t>Patent Office Standard (Black &amp; White Line Art) + Colored Pictorial Representation on Realistic Background.</t>
  </si>
  <si>
    <t>High Precision (Visual Accuracy)</t>
  </si>
  <si>
    <t>SVG, AI, EPS, PDF</t>
  </si>
  <si>
    <t>Must strictly match patent formatting style (no shading, consistent line hierarchy).</t>
  </si>
  <si>
    <t>Rendered Images</t>
  </si>
  <si>
    <t xml:space="preserve">Internal Visualization Standard
</t>
  </si>
  <si>
    <t>PNG/JPEG</t>
  </si>
  <si>
    <t>For presentation purposes only (not for patent submission).</t>
  </si>
  <si>
    <t>3.0 QUALITY GATE: DATA SUFFICIENCY</t>
  </si>
  <si>
    <t>Does the provided source data allow for the requested tolerances? (Yes/No):</t>
  </si>
  <si>
    <t>NO</t>
  </si>
  <si>
    <t>No explicit dimensions or physical measurements provided. Image-based reconstruction alone cannot guarantee manufacturing or patent-level accuracy.</t>
  </si>
  <si>
    <t>Is a site visit required for manual measurements? (Yes/No):</t>
  </si>
  <si>
    <t>YES</t>
  </si>
  <si>
    <t xml:space="preserve">To:
Capture precise dimensions
Validate geometry
Ensure patent compliance accuracy
Reduce legal/IP risk
</t>
  </si>
  <si>
    <t>Acknowledgement Email</t>
  </si>
  <si>
    <t>D1.5</t>
  </si>
  <si>
    <t>PROJECT REQUEST ID: [Enter ID]</t>
  </si>
  <si>
    <t>D1.4 ACKNOWLEDGMENT EMAIL RECORD</t>
  </si>
  <si>
    <t>1.0 DISPATCH METADATA</t>
  </si>
  <si>
    <t>Sent To (Client Email):</t>
  </si>
  <si>
    <t>Date Sent:</t>
  </si>
  <si>
    <t>CC / BCC:</t>
  </si>
  <si>
    <t>Time Sent:</t>
  </si>
  <si>
    <t>Subject Line:</t>
  </si>
  <si>
    <t>Sent By (IMHOGEN Rep):</t>
  </si>
  <si>
    <t>2.0 STANDARD EMAIL TEMPLATE (Copy &amp; Paste)</t>
  </si>
  <si>
    <t>Dear Frederick,</t>
  </si>
  <si>
    <t>Thank you for reaching out to IMHOGEN LTD. We have successfully received your project inquiry regarding Plastic Extruding Innovation for Patent Application and associated reference sample and Prototype images, submitted on Saturday, 4th April, 2026.</t>
  </si>
  <si>
    <t>Your request has been assigned the tracking reference : CAD-1775340276795</t>
  </si>
  <si>
    <t>Our Engineering and R&amp;D team is currently reviewing the initial details you provided. A Project Onboarding Manager will contact you within the next 24-48 hours to propose a time for a brief Technical Discovery Meeting. This meeting will help us better understand your specific constraints to ensure we deliver tailored engineering solution.</t>
  </si>
  <si>
    <t>If you have any supplementary documents information on scope, please share them.</t>
  </si>
  <si>
    <t>We look forward to collaborating with you.</t>
  </si>
  <si>
    <t>(P.S: Request Filled On your behalf by Technical Support Team, find the filled form attached)</t>
  </si>
  <si>
    <t>Best regards,</t>
  </si>
  <si>
    <t>3.0 CRM / DIGITAL RECORD REFERENCE</t>
  </si>
  <si>
    <t>Link to sent Email</t>
  </si>
  <si>
    <t>Delivery Status</t>
  </si>
  <si>
    <t>Delivered</t>
  </si>
  <si>
    <t>Note /Replies</t>
  </si>
  <si>
    <t>D1.5 MEETING TIME PROPOSAL</t>
  </si>
  <si>
    <t>1.0 PRE-MEETING CONTEXT (Internal Tracker)</t>
  </si>
  <si>
    <t>SLOT No.</t>
  </si>
  <si>
    <t>Date (DD/MM/YYY)</t>
  </si>
  <si>
    <t>TIme(Zone)</t>
  </si>
  <si>
    <t>Status (Pending/Accepted/Declined)</t>
  </si>
  <si>
    <t>Client Moments</t>
  </si>
  <si>
    <t xml:space="preserve">3.0 STANDARD SCHEDULING EMAIL SCRIPT </t>
  </si>
  <si>
    <t>Dear [Client Name],</t>
  </si>
  <si>
    <t>Following our initial review of your request for [Project Name]</t>
  </si>
  <si>
    <t>This 30-45 minute session will allow our engineering team to understand your operational constraints and exact technical needs.</t>
  </si>
  <si>
    <t>Please let us know which of the following times works best for you:</t>
  </si>
  <si>
    <t>- Option 1: [Insert Option 1 Date &amp; Time]</t>
  </si>
  <si>
    <t>- Option 2: [Insert Option 2 Date &amp; Time]</t>
  </si>
  <si>
    <t>- Option 3: [Insert Option 3 Date &amp; Time]</t>
  </si>
  <si>
    <t>If none of these suit your schedule</t>
  </si>
  <si>
    <t>We look forward to speaking with you.</t>
  </si>
  <si>
    <t>4.0 FINAL MEETING CONFIRMATION</t>
  </si>
  <si>
    <t>Agreed Date:</t>
  </si>
  <si>
    <t>Agreed Time:</t>
  </si>
  <si>
    <t>Meeting Platform/Location:</t>
  </si>
  <si>
    <t>Direct Meeting Link:</t>
  </si>
  <si>
    <t>Calendar Invite Sent?:</t>
  </si>
  <si>
    <t>Client Confirmed?:</t>
  </si>
  <si>
    <t>Note</t>
  </si>
  <si>
    <t>D1.7</t>
  </si>
  <si>
    <t>D1.6 CALENDAR INVITE &amp; AGENDA</t>
  </si>
  <si>
    <t>1.0 FINALIZED MEETING DETAILS</t>
  </si>
  <si>
    <t>Meeting Date:</t>
  </si>
  <si>
    <t>Meeting Time (Zone)</t>
  </si>
  <si>
    <t>Platform/Location</t>
  </si>
  <si>
    <t>Meeting ID/PINI:</t>
  </si>
  <si>
    <t>IMHOGEN Attendees</t>
  </si>
  <si>
    <t>Client Attendees:</t>
  </si>
  <si>
    <t>2.0 CALENDAR INTEGRATION</t>
  </si>
  <si>
    <t xml:space="preserve">Time Allotted				</t>
  </si>
  <si>
    <t>Agenda Topic</t>
  </si>
  <si>
    <t>Lead Speaker</t>
  </si>
  <si>
    <t>Meeting Objective / Focus</t>
  </si>
  <si>
    <t>05 Mins</t>
  </si>
  <si>
    <t>Introductions &amp; Project Overview</t>
  </si>
  <si>
    <t>Project Manager</t>
  </si>
  <si>
    <t>Establish rapport and align on the high-level project vision.</t>
  </si>
  <si>
    <t>15 Mins</t>
  </si>
  <si>
    <t>Technical Requirements (Inputs/Outputs)</t>
  </si>
  <si>
    <t>Lead Engineer</t>
  </si>
  <si>
    <t>Extract specific missing data identified in D1.3 (Section 4).</t>
  </si>
  <si>
    <t>10 Mins</t>
  </si>
  <si>
    <t>Operational Environment &amp; Constraints</t>
  </si>
  <si>
    <t>Define the physical environment and human operator limits.</t>
  </si>
  <si>
    <t>Commercial Expectations (Timeline/Budget)</t>
  </si>
  <si>
    <t>Ensure IMHOGEN and the client are aligned on business realities.</t>
  </si>
  <si>
    <t>Next Steps &amp; Q&amp;A</t>
  </si>
  <si>
    <t>Outline the Feasibility Report and Project Briefing stages.</t>
  </si>
  <si>
    <t>4.0 PRE-MEETING CHECKLIST</t>
  </si>
  <si>
    <t>Task</t>
  </si>
  <si>
    <t>Has the Lead Engineer reviewed D1.3 (Received Request Record)?</t>
  </si>
  <si>
    <t>Is the meeting recording software/consent prepared?</t>
  </si>
  <si>
    <t>Have previous reference documents (D1.1) been opened for screen sharing?</t>
  </si>
  <si>
    <t>D1.8</t>
  </si>
  <si>
    <t>D1.7 RAW MEETING NOTES (Live Capture)</t>
  </si>
  <si>
    <t>1.0 MEETING EXECUTION METADATA</t>
  </si>
  <si>
    <t>Actual Date:</t>
  </si>
  <si>
    <t>Actual Start Time:</t>
  </si>
  <si>
    <t>Recording Link (If applicable):</t>
  </si>
  <si>
    <t>Actual End Time:</t>
  </si>
  <si>
    <t>Attendees Present (IMHOGEN):</t>
  </si>
  <si>
    <t>Attendees Present (Client):</t>
  </si>
  <si>
    <t>2.0 LIVE DISCUSSION CAPTURE (Aligns with D1.6 Agenda)</t>
  </si>
  <si>
    <t>Raw Notes / Direct Client Statements</t>
  </si>
  <si>
    <t>IMHOGEN Clarifications / Immediate Remarks</t>
  </si>
  <si>
    <t>3.0 PARKING LOT (Unresolved Questions or Out-of-Scope Requests)</t>
  </si>
  <si>
    <t>Item Description</t>
  </si>
  <si>
    <t>Action Required / Who to resolve?</t>
  </si>
  <si>
    <t>4.0 MEETING CLOSE-OUT</t>
  </si>
  <si>
    <t>Primary Outcome:</t>
  </si>
  <si>
    <t>[e.g. Needs Assessment Complete / Follow-up Call Required]</t>
  </si>
  <si>
    <t>Client Next Step:</t>
  </si>
  <si>
    <t>[e.g. Send existing site photos and layout dimensions]</t>
  </si>
  <si>
    <t>IMHOGEN Next Step:</t>
  </si>
  <si>
    <t>[e.g. Synthesize into D1.8 and begin Feasibility Report]</t>
  </si>
  <si>
    <t>Needs Assessment Note</t>
  </si>
  <si>
    <t>D1.8 NEEDS ASSESSMENT NOTES (Engineering Synthesis)</t>
  </si>
  <si>
    <t>1.0 SYNTHESIS METADATA</t>
  </si>
  <si>
    <t>Synthesized By (Lead Engineer):</t>
  </si>
  <si>
    <t>Date of Synthesis:</t>
  </si>
  <si>
    <t>Reference Raw Notes ID</t>
  </si>
  <si>
    <t>Client/Project Name:</t>
  </si>
  <si>
    <t>Category</t>
  </si>
  <si>
    <t>Confirmed Constraints / Specifications</t>
  </si>
  <si>
    <t>Engineering Remarks (Risks/Clarifications)</t>
  </si>
  <si>
    <t>INPUT: Material</t>
  </si>
  <si>
    <t>INPUT: Energy</t>
  </si>
  <si>
    <t>INPUT: Information</t>
  </si>
  <si>
    <t>INPUT: Livingthing</t>
  </si>
  <si>
    <t>OUTPUT: Material</t>
  </si>
  <si>
    <t>OUTPUT: Energy</t>
  </si>
  <si>
    <t>OUTPUT: Information</t>
  </si>
  <si>
    <t>OUTPUT: Livingthing</t>
  </si>
  <si>
    <t>OPERATOR: Human System</t>
  </si>
  <si>
    <t>OPERATOR: Tech System</t>
  </si>
  <si>
    <t>OPERATOR: Active Env.</t>
  </si>
  <si>
    <t>OPERATOR: Mgt System</t>
  </si>
  <si>
    <t>OPERATOR: Information System</t>
  </si>
  <si>
    <t>3.0 PRELIMINARY DESIGN SPECIFICATIONS (Draft Pr-Set)</t>
  </si>
  <si>
    <t>Requirement Category</t>
  </si>
  <si>
    <t>Specific Requirement / Tolerance</t>
  </si>
  <si>
    <t>Priority (Fixed/Wish)</t>
  </si>
  <si>
    <t>Function Properties</t>
  </si>
  <si>
    <t>Operational Properties</t>
  </si>
  <si>
    <t>Manufacturing Properties</t>
  </si>
  <si>
    <t>Environmental Properties</t>
  </si>
  <si>
    <t>Distribution Properties</t>
  </si>
  <si>
    <t>4.0 SYNTHESIS APPROVAL &amp; ROUTING</t>
  </si>
  <si>
    <t>Synthesis Complete? (Yes/No):</t>
  </si>
  <si>
    <t>Date</t>
  </si>
  <si>
    <t>Lead Engineer Signature:</t>
  </si>
  <si>
    <t>Ready for Internal Review (D1.9)?</t>
  </si>
  <si>
    <t>T3 Physical Metrology Log</t>
  </si>
  <si>
    <t>T3.D6.5.0a</t>
  </si>
  <si>
    <t>Data Integrity</t>
  </si>
  <si>
    <t>Engineering</t>
  </si>
  <si>
    <t>Physical Measurement</t>
  </si>
  <si>
    <t>Tier 3 Field Tool</t>
  </si>
  <si>
    <t>1.0 MEASUREMENT EQUIPMENT VERIFICATION</t>
  </si>
  <si>
    <t>Tool Used</t>
  </si>
  <si>
    <t>Serial # / ID</t>
  </si>
  <si>
    <t>Calibration Status</t>
  </si>
  <si>
    <t>Accuracy Range</t>
  </si>
  <si>
    <t>[e.g. Digital Caliper]</t>
  </si>
  <si>
    <t>[ID-101]</t>
  </si>
  <si>
    <t>[Valid]</t>
  </si>
  <si>
    <t>[+/- 0.02mm]</t>
  </si>
  <si>
    <t>[e.g. Laser Scanner]</t>
  </si>
  <si>
    <t>[ID-202]</t>
  </si>
  <si>
    <t>[+/- 0.10mm]</t>
  </si>
  <si>
    <t>2.0 CRITICAL DIMENSION CAPTURE</t>
  </si>
  <si>
    <t>Feature Name</t>
  </si>
  <si>
    <t>Measurement Method</t>
  </si>
  <si>
    <t>Measured Value (mm)</t>
  </si>
  <si>
    <t>Ref. Photo ID</t>
  </si>
  <si>
    <t>Confidence (H/M/L)</t>
  </si>
  <si>
    <t>Main Shaft Dia.</t>
  </si>
  <si>
    <t>[Caliper]</t>
  </si>
  <si>
    <t>[Value]</t>
  </si>
  <si>
    <t>[IMG_001]</t>
  </si>
  <si>
    <t>[High]</t>
  </si>
  <si>
    <t>[Measured at 3 points]</t>
  </si>
  <si>
    <t>Mounting Pattern</t>
  </si>
  <si>
    <t>[Steel Rule]</t>
  </si>
  <si>
    <t>[IMG_002]</t>
  </si>
  <si>
    <t>[Med]</t>
  </si>
  <si>
    <t>[Center-to-center]</t>
  </si>
  <si>
    <t>Overall Envelope</t>
  </si>
  <si>
    <t>[Laser Tape]</t>
  </si>
  <si>
    <t>[IMG_003]</t>
  </si>
  <si>
    <t>[Max protrusion points]</t>
  </si>
  <si>
    <t>3.0 PHOTOGRAPHIC EVIDENCE CHECKLIST</t>
  </si>
  <si>
    <t>View Required</t>
  </si>
  <si>
    <t>Captured? (Y/N)</t>
  </si>
  <si>
    <t>File Link / Folder</t>
  </si>
  <si>
    <t>Quality Note</t>
  </si>
  <si>
    <t>Isometric / 3/4 View</t>
  </si>
  <si>
    <t>[ ]</t>
  </si>
  <si>
    <t>[Link]</t>
  </si>
  <si>
    <t>[Must show overall machine context]</t>
  </si>
  <si>
    <t>Nameplate / Specs</t>
  </si>
  <si>
    <t>[Serial numbers and motor ratings]</t>
  </si>
  <si>
    <t>Complex Interfaces</t>
  </si>
  <si>
    <t>[Close-ups of gears/splines/connectors]</t>
  </si>
  <si>
    <t>4.0 FIELD SIGN-OFF</t>
  </si>
  <si>
    <t>I confirm that all critical dimensions have been captured and the physical machine can be released.</t>
  </si>
  <si>
    <t>Lead Measurer Signature</t>
  </si>
  <si>
    <t>[DD/MM/YYYY]</t>
  </si>
  <si>
    <t>D1.10</t>
  </si>
  <si>
    <t>D1.9 INTERNAL REVIEW REQUEST (Internal Memo)</t>
  </si>
  <si>
    <t>1.0 REVIEW INITIATION METADATA</t>
  </si>
  <si>
    <t>Requested By (Lead/PM):</t>
  </si>
  <si>
    <t>Project/Client Name:</t>
  </si>
  <si>
    <t>Required Completion Date:</t>
  </si>
  <si>
    <t>Primary Review Objective:</t>
  </si>
  <si>
    <t>Priority Level:</t>
  </si>
  <si>
    <t>2.0 CONTEXT &amp; REFERENCE MATERIAL (Required Reading)</t>
  </si>
  <si>
    <t>Document Name</t>
  </si>
  <si>
    <t>Direct Link to Document</t>
  </si>
  <si>
    <t>D1.3 Received Request Record</t>
  </si>
  <si>
    <t>D1.8 Needs Assessment Notes</t>
  </si>
  <si>
    <t>Client Supplementary Uploads (D1.1)</t>
  </si>
  <si>
    <t>3.0 SPECIFIC REVIEW DIRECTIVES &amp; ASSIGNMENTS</t>
  </si>
  <si>
    <t>Review Category</t>
  </si>
  <si>
    <t>Assigned Reviewer</t>
  </si>
  <si>
    <t>Specific Focus / Question for Reviewer</t>
  </si>
  <si>
    <t>Technical Feasibility</t>
  </si>
  <si>
    <t>Engineering Risk Officer</t>
  </si>
  <si>
    <t>Evaluate the physical constraints outlined in D1.8.</t>
  </si>
  <si>
    <t>Resource Availability</t>
  </si>
  <si>
    <t>Head of Operations</t>
  </si>
  <si>
    <t>Check workshop/personnel capacity for requested timeline.</t>
  </si>
  <si>
    <t>Commercial &amp; Scope Alignment</t>
  </si>
  <si>
    <t>Verify client budget expectations align with stated deliverables.</t>
  </si>
  <si>
    <t>Specialist Review (If required)</t>
  </si>
  <si>
    <t>[Name]</t>
  </si>
  <si>
    <t>[Type specific technical or supply chain question here]</t>
  </si>
  <si>
    <t>4.0 REVIEW COMPLETION TRACKING</t>
  </si>
  <si>
    <t>Are all reviews submitted? (Yes/No):</t>
  </si>
  <si>
    <t>Ready for Capability Assessment (D1.10)?:</t>
  </si>
  <si>
    <t>Capability Assessment  Sheet</t>
  </si>
  <si>
    <t xml:space="preserve">Capability Assessment </t>
  </si>
  <si>
    <t>D1.10 CAPABILITY ASSESSMENT SHEET</t>
  </si>
  <si>
    <t>Assessor (Head of Ops/Lead Eng):</t>
  </si>
  <si>
    <t>Date of Assessment:</t>
  </si>
  <si>
    <t>Reference Request ID:</t>
  </si>
  <si>
    <t>2.0 TECHNICAL CAPABILITY (Engineering &amp; Manufacturing)</t>
  </si>
  <si>
    <t>Evaluation Criteria</t>
  </si>
  <si>
    <t>Status (Yes/No/Partial)</t>
  </si>
  <si>
    <t>Justification / Identified Gaps</t>
  </si>
  <si>
    <t>Does IMHOGEN possess the core engineering expertise for this design?</t>
  </si>
  <si>
    <t>Can the physical product be fabricated using our standard workshop tools?</t>
  </si>
  <si>
    <t>Are the required raw materials reliably accessible in our local supply chain?</t>
  </si>
  <si>
    <t>Do we have the software/computing capability to run necessary simulations?</t>
  </si>
  <si>
    <t>4.0 COMMERCIAL ALIGNMENT</t>
  </si>
  <si>
    <t>Does the client's estimated budget align with the scale of work?</t>
  </si>
  <si>
    <t>Is this project aligned with IMHOGEN's long-term strategic goals?</t>
  </si>
  <si>
    <t>5.0 CAPABILITY CONCLUSION</t>
  </si>
  <si>
    <t>Overall Capability Status:</t>
  </si>
  <si>
    <t>Date:</t>
  </si>
  <si>
    <t>Primary Bottleneck (If any):</t>
  </si>
  <si>
    <t>Assessor Signature:</t>
  </si>
  <si>
    <t>Risk Assessment Sheet</t>
  </si>
  <si>
    <t>D1.11</t>
  </si>
  <si>
    <t>D1.11 RISK ASSESSMENT SHEET</t>
  </si>
  <si>
    <t>1.0 ASSESSMENT METADATA</t>
  </si>
  <si>
    <t>Risk Category</t>
  </si>
  <si>
    <t>Specific Risk Description</t>
  </si>
  <si>
    <t>Probability (H/M/L)</t>
  </si>
  <si>
    <t>Impact (H/M/L)</t>
  </si>
  <si>
    <t>Proposed Mitigation Strategy</t>
  </si>
  <si>
    <t>Risk Owner</t>
  </si>
  <si>
    <t>Technical Risk</t>
  </si>
  <si>
    <t>[e.g. Thermal distortion during welding fails ±1mm tolerance]</t>
  </si>
  <si>
    <t>[Type here]</t>
  </si>
  <si>
    <t>Commercial Risk</t>
  </si>
  <si>
    <t>[e.g. Client expands scope without budget increase]</t>
  </si>
  <si>
    <t>Supply Chain Risk</t>
  </si>
  <si>
    <t>[e.g. Specific sensors unavailable in local Kumasi market]</t>
  </si>
  <si>
    <t>Operational Risk</t>
  </si>
  <si>
    <t>[e.g. Workshop capacity full during target fabrication week]</t>
  </si>
  <si>
    <t>3.0 RISK CONCLUSION &amp; GO/NO-GO DECISION</t>
  </si>
  <si>
    <t>Evaluation Question</t>
  </si>
  <si>
    <t>Remarks / Conditions</t>
  </si>
  <si>
    <t>Are there any "High Probability / High Impact" risks that cannot be mitigated?</t>
  </si>
  <si>
    <t>Does the mitigation of these risks push the project over the client's budget?</t>
  </si>
  <si>
    <t>Is IMHOGEN willing to accept the residual risk of this project?</t>
  </si>
  <si>
    <t xml:space="preserve">   </t>
  </si>
  <si>
    <t>OVERALL RISK PROFILE:</t>
  </si>
  <si>
    <t>PROJECT GO/NO-GO DECISION:</t>
  </si>
  <si>
    <t>D1.13</t>
  </si>
  <si>
    <t>Capability Domain</t>
  </si>
  <si>
    <t>Status[Capable/Partial]</t>
  </si>
  <si>
    <t>Key Findings / Gaps to Bridge</t>
  </si>
  <si>
    <t>Engineering &amp; Design</t>
  </si>
  <si>
    <t>Manufacturing &amp; Tools</t>
  </si>
  <si>
    <t>Supply Chain &amp; Materials</t>
  </si>
  <si>
    <t>Resource Bandwidth</t>
  </si>
  <si>
    <t>3.0 CRITICAL RISKS &amp; REQUIRED MITIGATIONS (Sourced from D1.11)</t>
  </si>
  <si>
    <t>Primary Risk Identified</t>
  </si>
  <si>
    <t>Impact Level</t>
  </si>
  <si>
    <t>Mandatory Mitigation Strategy (Must be in Contract)</t>
  </si>
  <si>
    <t>4.0 COMMERCIAL FEASIBILITY (Timeline &amp; Budget Alignment)</t>
  </si>
  <si>
    <t>Client's Target Timeline:</t>
  </si>
  <si>
    <t>IMHOGEN Realistic Timeline:</t>
  </si>
  <si>
    <t>Client's Estimated Budget:</t>
  </si>
  <si>
    <t>IMHOGEN Estimated Cost Floor:</t>
  </si>
  <si>
    <t>Commercial Alignment Notes:</t>
  </si>
  <si>
    <t>5.0 FINAL RECOMMENDATION &amp; ROUTING</t>
  </si>
  <si>
    <t>Recommendation:</t>
  </si>
  <si>
    <t>Head of R&amp;D Signature:</t>
  </si>
  <si>
    <t>D1.14</t>
  </si>
  <si>
    <t>D1.13 DRAFT SCOPE OF WORK (SOW)</t>
  </si>
  <si>
    <t>1.0 SOW METADATA &amp; OVERVIEW</t>
  </si>
  <si>
    <t>Drafted By (Lead Engineer/PM):</t>
  </si>
  <si>
    <t>Date of Draft:</t>
  </si>
  <si>
    <t>Project Vision / Primary Goal:</t>
  </si>
  <si>
    <t>2.0 INCLUDED SCOPE (Specific Deliverables)</t>
  </si>
  <si>
    <t>Deliverable Category</t>
  </si>
  <si>
    <t>Detailed Description of Deliverable</t>
  </si>
  <si>
    <t>Format / Quantity</t>
  </si>
  <si>
    <t>Delivery Phase</t>
  </si>
  <si>
    <t>Engineering Design</t>
  </si>
  <si>
    <t>[e.g. 3D CAD modeling of the welding jig structure]</t>
  </si>
  <si>
    <t>[e.g. .STEP / Native CAD]</t>
  </si>
  <si>
    <t>[Phase 1]</t>
  </si>
  <si>
    <t>Manufacturing Documentation</t>
  </si>
  <si>
    <t>[e.g. 2D fabrication drawings with GD&amp;T limits]</t>
  </si>
  <si>
    <t>[e.g. PDF (A3)]</t>
  </si>
  <si>
    <t>Physical Fabrication</t>
  </si>
  <si>
    <t>[e.g. Fabrication and assembly of one (1) physical jig unit]</t>
  </si>
  <si>
    <t>[e.g. Physical Unit]</t>
  </si>
  <si>
    <t>[Phase 2]</t>
  </si>
  <si>
    <t>Technical Documentation</t>
  </si>
  <si>
    <t>[e.g. Operator Manual and Maintenance Guide]</t>
  </si>
  <si>
    <t>[e.g. PDF (A4)]</t>
  </si>
  <si>
    <t>[Phase 3]</t>
  </si>
  <si>
    <t>Training &amp; Handover</t>
  </si>
  <si>
    <t>[e.g. Half-day on-site operator training at client facility]</t>
  </si>
  <si>
    <t>[e.g. In-person]</t>
  </si>
  <si>
    <t>3.0 EXCLUDED SCOPE (Out of Scope / "Not Included")</t>
  </si>
  <si>
    <t>Exclusion Category</t>
  </si>
  <si>
    <t>Description of Excluded Work (To prevent scope creep)</t>
  </si>
  <si>
    <t>Reasoning (Optional)</t>
  </si>
  <si>
    <t>4.0 PHASED TIMELINE &amp; MILESTONES</t>
  </si>
  <si>
    <t>Phase</t>
  </si>
  <si>
    <t>Key Activities / Milestones</t>
  </si>
  <si>
    <t>Estimated Duration</t>
  </si>
  <si>
    <t>Target Completion</t>
  </si>
  <si>
    <t xml:space="preserve"> </t>
  </si>
  <si>
    <t>5.0 CLIENT RESPONSIBILITIES &amp; DEPENDENCIES</t>
  </si>
  <si>
    <t>Due Date</t>
  </si>
  <si>
    <t>6.0 SOW ROUTING</t>
  </si>
  <si>
    <t>Scope Locked?:</t>
  </si>
  <si>
    <t>PM / Lead Engineer Signature:</t>
  </si>
  <si>
    <t>Ready for Cost Estimation (D1.14)?:</t>
  </si>
  <si>
    <t>Cost Estimation</t>
  </si>
  <si>
    <t>Finance tool</t>
  </si>
  <si>
    <t>D1.14 COST ESTIMATION SHEET (Executive Summary)</t>
  </si>
  <si>
    <t>1.0 BASE TECHNICAL LABOR COST (From Pricing Calculator)</t>
  </si>
  <si>
    <t>Engineering Module (e.g. Mechanical/Electronics)</t>
  </si>
  <si>
    <t>Estimated Days</t>
  </si>
  <si>
    <t>Daily Rate (GHS)</t>
  </si>
  <si>
    <t>Total Labor Cost (GHS)</t>
  </si>
  <si>
    <t>[e.g. 937.50]</t>
  </si>
  <si>
    <t>BASE LABOR SUBTOTAL</t>
  </si>
  <si>
    <t>2.0 DIRECT PROJECT COSTS (Prototypes &amp; Materials)</t>
  </si>
  <si>
    <t>Quantity</t>
  </si>
  <si>
    <t>Unit Cost (GHS)</t>
  </si>
  <si>
    <t>Total Cost (GHS)</t>
  </si>
  <si>
    <t>[e.g. 3D Printing Housing]</t>
  </si>
  <si>
    <t>[e.g. Electronics Fabrication / PCB]</t>
  </si>
  <si>
    <t>DIRECT COST SUBTOTAL:</t>
  </si>
  <si>
    <t>3.0 INSTITUTIONAL MARKUP LAYERS (Protecting the Business)</t>
  </si>
  <si>
    <t>Cost Layer Category</t>
  </si>
  <si>
    <t>Applied Rate (%)</t>
  </si>
  <si>
    <t>Calculated Value (GHS)</t>
  </si>
  <si>
    <t>Notes / Justification</t>
  </si>
  <si>
    <t>Project Management &amp; QC</t>
  </si>
  <si>
    <t>[e.g. 15%]</t>
  </si>
  <si>
    <t>[Applied to Base Labor]</t>
  </si>
  <si>
    <t>Administrative Overhead</t>
  </si>
  <si>
    <t>[e.g. 7%]</t>
  </si>
  <si>
    <t>[Fixed Institutional Cost]</t>
  </si>
  <si>
    <t>Sustainability / Risk Margin</t>
  </si>
  <si>
    <t>[Varies by Project Risk (D1.11)]</t>
  </si>
  <si>
    <t>TOTAL PROJECT VALUE:</t>
  </si>
  <si>
    <t>4.0 FINAL ALLOCATED BUDGET (Client-Facing Numbers)</t>
  </si>
  <si>
    <t>Deliverable Category (Must match SOW D1.13)</t>
  </si>
  <si>
    <t>Fully Loaded Alloc. Cost (GHS)</t>
  </si>
  <si>
    <t>Allocation Check</t>
  </si>
  <si>
    <t>[e.g. Product Architecture &amp; System Design]</t>
  </si>
  <si>
    <t>[e.g. 24,238]</t>
  </si>
  <si>
    <t>[Labor + Prop. PM + Overhead + Margin]</t>
  </si>
  <si>
    <t>[e.g. Mechanical &amp; Industrial Design]</t>
  </si>
  <si>
    <t>[e.g. 37,356]</t>
  </si>
  <si>
    <t>[e.g. Prototype Fabrication &amp; Testing]</t>
  </si>
  <si>
    <t>[e.g. 43,656]</t>
  </si>
  <si>
    <t>5.0 FINANCIAL ROUTING &amp; APPROVAL</t>
  </si>
  <si>
    <t>Is the minimum overhead recovery met?</t>
  </si>
  <si>
    <t>Ready for Project Briefing (D1.15)?:</t>
  </si>
  <si>
    <t>Head of R&amp;D / Finance Sig:</t>
  </si>
  <si>
    <t>D1.16</t>
  </si>
  <si>
    <r>
      <rPr>
        <rFont val="Helvetica Neue"/>
        <color theme="1"/>
      </rPr>
      <t xml:space="preserve">PROJECT REQUEST ID: </t>
    </r>
    <r>
      <rPr>
        <rFont val="Helvetica Neue"/>
        <b/>
        <color theme="1"/>
      </rPr>
      <t>CAD-1775340276795</t>
    </r>
  </si>
  <si>
    <t xml:space="preserve">D1.15 PROJECT BRIEF &amp; DRAFT BUDGET </t>
  </si>
  <si>
    <t>1.0 PROJECT &amp; CLIENT OVERVIEW</t>
  </si>
  <si>
    <t>Client / Organization Name:</t>
  </si>
  <si>
    <t>Project Title:</t>
  </si>
  <si>
    <t>Prototype Digitization &amp; Patent Documentation Package</t>
  </si>
  <si>
    <t>Primary Contact Person:</t>
  </si>
  <si>
    <t>Estimated Project Duration:</t>
  </si>
  <si>
    <t>5 Working Days</t>
  </si>
  <si>
    <t>Contact Email / Phone:</t>
  </si>
  <si>
    <t>0267384812</t>
  </si>
  <si>
    <t>Target Start Date:</t>
  </si>
  <si>
    <t>To be confirmed upon client approval</t>
  </si>
  <si>
    <t>2.0 EXECUTIVE SUMMARY &amp; CORE OBJECTIVES</t>
  </si>
  <si>
    <t>Project Vision:</t>
  </si>
  <si>
    <t>To transform an existing physical prototype into a precise digital engineering asset, supported by patent-compliant technical documentation, enabling successful Intellectual Property (IP) registration and future product development.</t>
  </si>
  <si>
    <t>Primary Objectives</t>
  </si>
  <si>
    <t>Digitize the prototype into an accurate 3D CAD model</t>
  </si>
  <si>
    <t>Develop detailed engineering drawings aligned with ISO standards</t>
  </si>
  <si>
    <t>Produce patent-compliant technical illustrations based on provided reference</t>
  </si>
  <si>
    <t>Deliver multi-format outputs suitable for documentation, submission, and presentation</t>
  </si>
  <si>
    <t>Ensure dimensional accuracy through on-site measurement and validation</t>
  </si>
  <si>
    <t>3.0 PHASED DELIVERABLES &amp; TIMELINE (Abstracted from D1.13 SOW)</t>
  </si>
  <si>
    <t>Phase No.</t>
  </si>
  <si>
    <t>Key Deliverables Included</t>
  </si>
  <si>
    <t>Measurement &amp; Validation</t>
  </si>
  <si>
    <t>On-site prototype measurement and proportionality/dimensional data capture</t>
  </si>
  <si>
    <t>1 Day</t>
  </si>
  <si>
    <t>Day 1</t>
  </si>
  <si>
    <t>3D Modeling (Parts + Assembly)</t>
  </si>
  <si>
    <t>Parametric 3D CAD model of prototype</t>
  </si>
  <si>
    <t>2 Days</t>
  </si>
  <si>
    <t>Day 3</t>
  </si>
  <si>
    <t>Technical Drafting</t>
  </si>
  <si>
    <t>2D engineering drawings (ISO 128 compliant)</t>
  </si>
  <si>
    <t>Day 4</t>
  </si>
  <si>
    <t>Patent Drawing Set</t>
  </si>
  <si>
    <t>Patent-style line drawings (vector formats)</t>
  </si>
  <si>
    <t>Day 5</t>
  </si>
  <si>
    <t>Rendering and Packaging</t>
  </si>
  <si>
    <t>Rendered visuals and final file compilation</t>
  </si>
  <si>
    <t>4.0 PROJECT BUDGET SUMMARY (Value-Based Pricing - Sourced from D1.14 Sec 4.0)</t>
  </si>
  <si>
    <t>Project Deliverable / Component</t>
  </si>
  <si>
    <t>Allocated Value (GHS)</t>
  </si>
  <si>
    <t>Payment Schedule</t>
  </si>
  <si>
    <t>Reverse Engineering &amp; 3D Modeling</t>
  </si>
  <si>
    <t>50% at Project initiation</t>
  </si>
  <si>
    <t>Technical Drawing Package (ISO Standard)</t>
  </si>
  <si>
    <t>Patent Drawing Development (Compliance Formatting)</t>
  </si>
  <si>
    <t>25% at patent compliance formatting</t>
  </si>
  <si>
    <t xml:space="preserve">Measurement, proportionation &amp; Validation </t>
  </si>
  <si>
    <t>Rendering &amp; Documentation Packaging</t>
  </si>
  <si>
    <t>25% Final delivery</t>
  </si>
  <si>
    <t>TOTAL ESTIMATED INVESTMENT (GHS):</t>
  </si>
  <si>
    <t>5.0 KEY EXCLUSIONS &amp; CLIENT RESPONSIBILITIES</t>
  </si>
  <si>
    <t>Out of Scope (Not Included):</t>
  </si>
  <si>
    <t>Structural analysis or FEA
Material selection or engineering optimization
Patent filing services (only documentation support provided)
Fabrication or manufacturing execution
Product redesign or feature modification</t>
  </si>
  <si>
    <t>Client Dependencies:</t>
  </si>
  <si>
    <t>Access to physical prototype for measurement
Clarification of any hidden/internal features if required
Timely communication and approval during execution
Confirmation of patent drawing standard if required</t>
  </si>
  <si>
    <t>6.0 APPROVAL &amp; NEXT STEPS</t>
  </si>
  <si>
    <t>Notice:</t>
  </si>
  <si>
    <t>This is a Draft Budget for discussion purposes. A formal binding contract will be issued upon agreement of these terms.</t>
  </si>
  <si>
    <t>Signature/Date:</t>
  </si>
  <si>
    <t xml:space="preserve">  Monday, 4th April 2026</t>
  </si>
  <si>
    <t>T3 Drafting SOW &amp; Quote</t>
  </si>
  <si>
    <t>Conversion</t>
  </si>
  <si>
    <t>Drafting Quoting</t>
  </si>
  <si>
    <t>T3.D1.15a</t>
  </si>
  <si>
    <r>
      <rPr>
        <rFont val="Helvetica Neue"/>
        <color theme="1"/>
      </rPr>
      <t xml:space="preserve">PROJECT REQUEST ID: </t>
    </r>
    <r>
      <rPr>
        <rFont val="Helvetica Neue"/>
        <b/>
        <color theme="1"/>
      </rPr>
      <t>CAD-1775340276795</t>
    </r>
  </si>
  <si>
    <t>1.0 SCOPE OF DELIVERABLES</t>
  </si>
  <si>
    <t>Service Item</t>
  </si>
  <si>
    <t>Technical Description</t>
  </si>
  <si>
    <t>Qty</t>
  </si>
  <si>
    <t>Delivery Timeline</t>
  </si>
  <si>
    <t>Format</t>
  </si>
  <si>
    <t>3D Modeling</t>
  </si>
  <si>
    <t>Reverse engineering and parametric reconstruction of prototype into a precise 3D CAD model</t>
  </si>
  <si>
    <t>3–4 Working Days</t>
  </si>
  <si>
    <t>STEP/Parasolid</t>
  </si>
  <si>
    <t>Drafting Package</t>
  </si>
  <si>
    <t>Full 2D technical drawings (dimensions, orthographic views, sections) aligned with ISO 128</t>
  </si>
  <si>
    <t>2–3 Working Days</t>
  </si>
  <si>
    <t>PDF/DWG</t>
  </si>
  <si>
    <t>Patent-compliant technical illustrations (black line format, no shading, standardized views)</t>
  </si>
  <si>
    <t>SVG / AI / EPS / PDF</t>
  </si>
  <si>
    <t>High-quality visual renders for presentation and documentation support</t>
  </si>
  <si>
    <t>3 Views</t>
  </si>
  <si>
    <t>1–2 Working Days</t>
  </si>
  <si>
    <t>PNG / JPEG</t>
  </si>
  <si>
    <t>On-site measurement and dimensional validation of prototype at client location (Suame)</t>
  </si>
  <si>
    <t>1 Visit</t>
  </si>
  <si>
    <t>Field Data + Notes</t>
  </si>
  <si>
    <t>2.0 PRICING SUMMARY (GHS)</t>
  </si>
  <si>
    <t>Rate (Ghs/hr)</t>
  </si>
  <si>
    <t>Subtotal</t>
  </si>
  <si>
    <t>Finance Notes</t>
  </si>
  <si>
    <t>Engineering Man-Hours (Drafting &amp; Modeling)</t>
  </si>
  <si>
    <t>Covers 3D modeling, drawings, patent formatting</t>
  </si>
  <si>
    <t>Reverse Engineering (Measurement &amp; Validation Support)</t>
  </si>
  <si>
    <t>Includes short site visit + dimensional capture</t>
  </si>
  <si>
    <t>Patent Drawing Preparation Premium</t>
  </si>
  <si>
    <t>High-accuracy + compliance formatting</t>
  </si>
  <si>
    <t>Markup / Admin Fee</t>
  </si>
  <si>
    <t>Coordination, QA, file packaging</t>
  </si>
  <si>
    <t>TOTAL T3 PROJECT VALUE</t>
  </si>
  <si>
    <t>3.0 MANDATORY EXCLUSIONS</t>
  </si>
  <si>
    <t>Exclusion</t>
  </si>
  <si>
    <t>No Structural Analysis or FEA included.</t>
  </si>
  <si>
    <t>No Material Selection Advice.</t>
  </si>
  <si>
    <t>No Fabrication Liability.</t>
  </si>
  <si>
    <t>No Patent Filing Services (only drawing support)</t>
  </si>
  <si>
    <t>No redesign or feature modification beyond existing prototype</t>
  </si>
  <si>
    <t>D1.16 HANDOFF MEETING MINUTES (Engineering to Contracting)</t>
  </si>
  <si>
    <t>1.0 HANDOFF METADATA</t>
  </si>
  <si>
    <t>Meeting Time:</t>
  </si>
  <si>
    <t>[00:00 AM/PM]</t>
  </si>
  <si>
    <t>Lead Engineer (Handing Off):</t>
  </si>
  <si>
    <t>[Type Name]</t>
  </si>
  <si>
    <t>Contract Admin (Receiving):</t>
  </si>
  <si>
    <t>Project Value (GHS):</t>
  </si>
  <si>
    <t>[From D1.15]</t>
  </si>
  <si>
    <t>2.0 PROJECT BRIEF &amp; BUDGET TRANSFER</t>
  </si>
  <si>
    <t>Reference Document:</t>
  </si>
  <si>
    <t>D1.15 Project Brief &amp; Draft Budget</t>
  </si>
  <si>
    <t>Link to D1.15:</t>
  </si>
  <si>
    <t>[Insert Hyperlink]</t>
  </si>
  <si>
    <t>Scope Summary:</t>
  </si>
  <si>
    <t>[Type a 2-sentence summary of what IMHOGEN has committed to delivering.]</t>
  </si>
  <si>
    <t>Payment Terms Agreed:</t>
  </si>
  <si>
    <t>[e.g. 40% Advance / 40% Fabrication / 20% Handover]</t>
  </si>
  <si>
    <t>3.0 CONTRACTING DIRECTIVES (Critical Risks &amp; Exclusions to enforce in Contract)</t>
  </si>
  <si>
    <t>Risk / Exclusion Category</t>
  </si>
  <si>
    <t>Specific Directive for Contract Admin</t>
  </si>
  <si>
    <t>Source Reference</t>
  </si>
  <si>
    <t>Scope Exclusion</t>
  </si>
  <si>
    <t>[e.g. Ensure contract explicitly states regulatory certification is NOT included.]</t>
  </si>
  <si>
    <t>[From D1.13]</t>
  </si>
  <si>
    <t>Timeline Risk</t>
  </si>
  <si>
    <t>[e.g. Add clause: Phase 2 timeline begins ONLY after formal CAD sign-off.]</t>
  </si>
  <si>
    <t>[From D1.11]</t>
  </si>
  <si>
    <t>Financial Risk</t>
  </si>
  <si>
    <t>[e.g. Add clause: Quote valid for 21 days due to material price fluctuations.]</t>
  </si>
  <si>
    <t>4.0 SYSTEM HANDOFF &amp; ARCHIVAL CHECKLIST (PID 1.5.2 &amp; 1.5.3)</t>
  </si>
  <si>
    <t>Task / Action Item</t>
  </si>
  <si>
    <t>Has the central database status been updated to "Contracting Phase"?</t>
  </si>
  <si>
    <t>Contract Admin</t>
  </si>
  <si>
    <t>[Pending / Done]</t>
  </si>
  <si>
    <t>Have all D1.1 to D1.15 documents been moved to the permanent digital folder?</t>
  </si>
  <si>
    <t>Is the Contract Admin fully clear on the technical deliverables to be billed?</t>
  </si>
  <si>
    <t>5.0 FINAL SIGN-OFF</t>
  </si>
  <si>
    <t>Engineering Release:</t>
  </si>
  <si>
    <t>[Signature]</t>
  </si>
  <si>
    <t>Contracting Acceptance:</t>
  </si>
  <si>
    <t>INVOICE</t>
  </si>
  <si>
    <t>Engineering Ideas Into Impact</t>
  </si>
  <si>
    <t>Invoice No:</t>
  </si>
  <si>
    <t>IMHO-INV26-ADV-012</t>
  </si>
  <si>
    <t xml:space="preserve">Designing solutions. Building skills.  </t>
  </si>
  <si>
    <t>Invoice Type:</t>
  </si>
  <si>
    <r>
      <rPr>
        <rFont val="Barlow"/>
        <b/>
        <color theme="1"/>
      </rPr>
      <t>ADV</t>
    </r>
    <r>
      <rPr>
        <rFont val="Barlow"/>
        <color theme="1"/>
      </rPr>
      <t xml:space="preserve"> / MIL /</t>
    </r>
    <r>
      <rPr>
        <rFont val="Barlow"/>
        <b/>
        <color theme="1"/>
      </rPr>
      <t xml:space="preserve"> </t>
    </r>
    <r>
      <rPr>
        <rFont val="Barlow"/>
        <color theme="1"/>
      </rPr>
      <t>FIN</t>
    </r>
  </si>
  <si>
    <t>Powering industry.</t>
  </si>
  <si>
    <t>Invoice Date:</t>
  </si>
  <si>
    <t>Due Date:</t>
  </si>
  <si>
    <t>21 working days</t>
  </si>
  <si>
    <t>KBI, Near UPK, Opoku WareII Museum</t>
  </si>
  <si>
    <t>Project Code:</t>
  </si>
  <si>
    <t xml:space="preserve">KNUST, Kumasi – Ghana
admin@imhogen.com </t>
  </si>
  <si>
    <t>BILLED BY:</t>
  </si>
  <si>
    <t>BILLED TO:</t>
  </si>
  <si>
    <t>Client Organisation:</t>
  </si>
  <si>
    <t>Reg No: CS011410126</t>
  </si>
  <si>
    <t>Client Address:</t>
  </si>
  <si>
    <t>TIN: C006744075</t>
  </si>
  <si>
    <t>Contact Person:</t>
  </si>
  <si>
    <t>Prepared by:</t>
  </si>
  <si>
    <t xml:space="preserve">Email: </t>
  </si>
  <si>
    <t>Clifford Fiannaa</t>
  </si>
  <si>
    <t>Phone:</t>
  </si>
  <si>
    <t>Kumasi, Ghana</t>
  </si>
  <si>
    <t>ENGAGEMENT DESCRIPTION</t>
  </si>
  <si>
    <t>Provision of reverse engineering, 3D CAD modeling, technical drafting, and patent-compliant documentation services for the digitization and formal representation of an existing prototype</t>
  </si>
  <si>
    <t>Item</t>
  </si>
  <si>
    <t>Amount (GHS)</t>
  </si>
  <si>
    <t>AMOUNT DUE</t>
  </si>
  <si>
    <t>PAYMENT MILESTONE</t>
  </si>
  <si>
    <t>PAYMENT DETAILS</t>
  </si>
  <si>
    <t>Project Value:</t>
  </si>
  <si>
    <t>Bank:</t>
  </si>
  <si>
    <t>FIDELITY BANK</t>
  </si>
  <si>
    <t>Contract signing (50%):</t>
  </si>
  <si>
    <t>Account Name:</t>
  </si>
  <si>
    <t>Account Number:</t>
  </si>
  <si>
    <t>Please reference:</t>
  </si>
  <si>
    <t>Branch:</t>
  </si>
  <si>
    <t>KNUST</t>
  </si>
  <si>
    <t>PAYMENT TERMS</t>
  </si>
  <si>
    <t>This invoice is valid within 21 days from date of issue</t>
  </si>
  <si>
    <t>Work commencement is subject to receipt of the required advance payment.</t>
  </si>
  <si>
    <t>IMHO GEN reserves the right to suspend services or withhold deliverables until outstanding payments are settled.</t>
  </si>
  <si>
    <r>
      <rPr>
        <rFont val="Barlow"/>
        <color theme="1"/>
        <sz val="9.0"/>
      </rPr>
      <t>IMHOGEN LTD | Trading as IMHO GEN (</t>
    </r>
    <r>
      <rPr>
        <rFont val="Barlow"/>
        <color theme="1"/>
        <sz val="9.0"/>
      </rPr>
      <t>A company incorporated under the laws of the Republic of Ghana</t>
    </r>
    <r>
      <rPr>
        <rFont val="Barlow"/>
        <color theme="1"/>
        <sz val="9.0"/>
      </rPr>
      <t>)</t>
    </r>
  </si>
  <si>
    <t>Engineering Design | Eng. Design Skills Development | R&amp;D | QMS | Productivity Consulting | Innovation for Africa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</si>
</sst>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h:mm am/pm"/>
    <numFmt numFmtId="166" formatCode="mmmm d, yyyy"/>
  </numFmts>
  <fonts count="35">
    <font>
      <sz val="10.0"/>
      <color rgb="FF000000"/>
      <name val="Arial"/>
      <scheme val="minor"/>
    </font>
    <font>
      <color theme="1"/>
      <name val="Oswald"/>
    </font>
    <font/>
    <font>
      <color theme="1"/>
      <name val="Helvetica Neue"/>
    </font>
    <font>
      <color theme="1"/>
      <name val="Arial"/>
    </font>
    <font>
      <b/>
      <sz val="11.0"/>
      <color theme="1"/>
      <name val="Helvetica Neue"/>
    </font>
    <font>
      <sz val="8.0"/>
      <color theme="1"/>
      <name val="Helvetica Neue"/>
    </font>
    <font>
      <b/>
      <color theme="1"/>
      <name val="Helvetica Neue"/>
    </font>
    <font>
      <u/>
      <color rgb="FF0000FF"/>
      <name val="Helvetica Neue"/>
    </font>
    <font>
      <u/>
      <color rgb="FF0000FF"/>
      <name val="Helvetica Neue"/>
    </font>
    <font>
      <color rgb="FF1F1F1F"/>
      <name val="Helvetica Neue"/>
    </font>
    <font>
      <b/>
      <color theme="1"/>
      <name val="Arial"/>
    </font>
    <font>
      <u/>
      <color rgb="FF0000FF"/>
    </font>
    <font>
      <u/>
      <sz val="11.0"/>
      <color rgb="FF333333"/>
      <name val="-apple-system"/>
    </font>
    <font>
      <u/>
      <sz val="11.0"/>
      <color rgb="FF0000FF"/>
      <name val="Arial"/>
    </font>
    <font>
      <u/>
      <color rgb="FF0000FF"/>
    </font>
    <font>
      <sz val="10.0"/>
      <color theme="1"/>
      <name val="Helvetica Neue"/>
    </font>
    <font>
      <u/>
      <color theme="4"/>
      <name val="Helvetica Neue"/>
    </font>
    <font>
      <b/>
      <sz val="11.0"/>
      <color rgb="FF000000"/>
      <name val="Arial"/>
    </font>
    <font>
      <color rgb="FF000000"/>
      <name val="Verdana"/>
    </font>
    <font>
      <b/>
      <color rgb="FF000000"/>
      <name val="Verdana"/>
    </font>
    <font>
      <b/>
      <sz val="9.0"/>
      <color theme="1"/>
      <name val="Helvetica Neue"/>
    </font>
    <font>
      <u/>
      <color rgb="FF0000FF"/>
      <name val="Helvetica Neue"/>
    </font>
    <font>
      <sz val="9.0"/>
      <color theme="1"/>
      <name val="Helvetica Neue"/>
    </font>
    <font>
      <b/>
      <sz val="13.0"/>
      <color theme="1"/>
      <name val="Helvetica Neue"/>
    </font>
    <font>
      <b/>
      <sz val="23.0"/>
      <color theme="1"/>
      <name val="Barlow"/>
    </font>
    <font>
      <b/>
      <sz val="19.0"/>
      <color theme="1"/>
      <name val="Barlow"/>
    </font>
    <font>
      <b/>
      <color rgb="FF073763"/>
      <name val="Barlow"/>
    </font>
    <font>
      <color theme="1"/>
      <name val="Barlow"/>
    </font>
    <font>
      <b/>
      <color theme="1"/>
      <name val="Barlow"/>
    </font>
    <font>
      <sz val="9.0"/>
      <color theme="1"/>
      <name val="Barlow"/>
    </font>
    <font>
      <i/>
      <color theme="1"/>
      <name val="Barlow"/>
    </font>
    <font>
      <color rgb="FF073763"/>
      <name val="Barlow"/>
    </font>
    <font>
      <b/>
      <sz val="11.0"/>
      <color theme="1"/>
      <name val="Barlow"/>
    </font>
    <font>
      <sz val="9.0"/>
      <color theme="1"/>
      <name val="Arial"/>
    </font>
  </fonts>
  <fills count="7">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B7B7B7"/>
        <bgColor rgb="FFB7B7B7"/>
      </patternFill>
    </fill>
    <fill>
      <patternFill patternType="solid">
        <fgColor rgb="FFCCCCCC"/>
        <bgColor rgb="FFCCCCCC"/>
      </patternFill>
    </fill>
  </fills>
  <borders count="262">
    <border/>
    <border>
      <left style="medium">
        <color rgb="FF000000"/>
      </left>
      <top style="medium">
        <color rgb="FF000000"/>
      </top>
      <bottom style="thin">
        <color rgb="FF999999"/>
      </bottom>
    </border>
    <border>
      <right style="thin">
        <color rgb="FF999999"/>
      </right>
      <top style="medium">
        <color rgb="FF000000"/>
      </top>
      <bottom style="thin">
        <color rgb="FF999999"/>
      </bottom>
    </border>
    <border>
      <left style="thin">
        <color rgb="FF999999"/>
      </left>
      <top style="medium">
        <color rgb="FF000000"/>
      </top>
      <bottom style="thin">
        <color rgb="FF999999"/>
      </bottom>
    </border>
    <border>
      <left style="thin">
        <color rgb="FF999999"/>
      </left>
      <top style="medium">
        <color rgb="FF000000"/>
      </top>
    </border>
    <border>
      <top style="medium">
        <color rgb="FF000000"/>
      </top>
    </border>
    <border>
      <right style="medium">
        <color rgb="FF000000"/>
      </right>
      <top style="medium">
        <color rgb="FF000000"/>
      </top>
    </border>
    <border>
      <left style="medium">
        <color rgb="FF000000"/>
      </lef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999999"/>
      </left>
      <bottom style="thin">
        <color rgb="FF999999"/>
      </bottom>
    </border>
    <border>
      <bottom style="thin">
        <color rgb="FF999999"/>
      </bottom>
    </border>
    <border>
      <right style="medium">
        <color rgb="FF000000"/>
      </right>
      <bottom style="thin">
        <color rgb="FF999999"/>
      </bottom>
    </border>
    <border>
      <top style="thin">
        <color rgb="FF999999"/>
      </top>
      <bottom style="thin">
        <color rgb="FF999999"/>
      </bottom>
    </border>
    <border>
      <right style="medium">
        <color rgb="FF000000"/>
      </right>
      <top style="thin">
        <color rgb="FF999999"/>
      </top>
      <bottom style="thin">
        <color rgb="FF999999"/>
      </bottom>
    </border>
    <border>
      <left style="thin">
        <color rgb="FF999999"/>
      </left>
      <top style="thin">
        <color rgb="FF999999"/>
      </top>
      <bottom style="thin">
        <color rgb="FFB7B7B7"/>
      </bottom>
    </border>
    <border>
      <right style="thin">
        <color rgb="FF999999"/>
      </right>
      <top style="thin">
        <color rgb="FF999999"/>
      </top>
      <bottom style="thin">
        <color rgb="FFB7B7B7"/>
      </bottom>
    </border>
    <border>
      <left style="thin">
        <color rgb="FF999999"/>
      </left>
      <top style="thin">
        <color rgb="FF999999"/>
      </top>
    </border>
    <border>
      <right style="thin">
        <color rgb="FF999999"/>
      </right>
      <top style="thin">
        <color rgb="FF999999"/>
      </top>
    </border>
    <border>
      <left style="medium">
        <color rgb="FF000000"/>
      </left>
      <top style="thin">
        <color rgb="FF999999"/>
      </top>
    </border>
    <border>
      <right style="thin">
        <color rgb="FF999999"/>
      </right>
      <bottom style="thin">
        <color rgb="FF999999"/>
      </bottom>
    </border>
    <border>
      <left style="thin">
        <color rgb="FF999999"/>
      </left>
    </border>
    <border>
      <right style="thin">
        <color rgb="FF999999"/>
      </right>
    </border>
    <border>
      <left style="medium">
        <color rgb="FF000000"/>
      </left>
      <bottom style="medium">
        <color rgb="FF000000"/>
      </bottom>
    </border>
    <border>
      <right style="thin">
        <color rgb="FF999999"/>
      </right>
      <bottom style="medium">
        <color rgb="FF000000"/>
      </bottom>
    </border>
    <border>
      <left style="thin">
        <color rgb="FF999999"/>
      </left>
      <bottom style="medium">
        <color rgb="FF000000"/>
      </bottom>
    </border>
    <border>
      <left style="thin">
        <color rgb="FF999999"/>
      </left>
      <top style="thin">
        <color rgb="FF999999"/>
      </top>
      <bottom style="medium">
        <color rgb="FF000000"/>
      </bottom>
    </border>
    <border>
      <right style="thin">
        <color rgb="FF999999"/>
      </right>
      <top style="thin">
        <color rgb="FF999999"/>
      </top>
      <bottom style="medium">
        <color rgb="FF000000"/>
      </bottom>
    </border>
    <border>
      <top style="thin">
        <color rgb="FF999999"/>
      </top>
      <bottom style="medium">
        <color rgb="FF000000"/>
      </bottom>
    </border>
    <border>
      <right style="medium">
        <color rgb="FF000000"/>
      </right>
      <top style="thin">
        <color rgb="FF999999"/>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thin">
        <color rgb="FFB7B7B7"/>
      </bottom>
    </border>
    <border>
      <right style="thin">
        <color rgb="FFB7B7B7"/>
      </right>
      <bottom style="thin">
        <color rgb="FFB7B7B7"/>
      </bottom>
    </border>
    <border>
      <left style="thin">
        <color rgb="FFB7B7B7"/>
      </left>
      <bottom style="thin">
        <color rgb="FFB7B7B7"/>
      </bottom>
    </border>
    <border>
      <bottom style="thin">
        <color rgb="FFB7B7B7"/>
      </bottom>
    </border>
    <border>
      <right style="medium">
        <color rgb="FF000000"/>
      </right>
      <bottom style="thin">
        <color rgb="FFB7B7B7"/>
      </bottom>
    </border>
    <border>
      <left style="medium">
        <color rgb="FF000000"/>
      </left>
      <top style="thin">
        <color rgb="FFB7B7B7"/>
      </top>
      <bottom style="thin">
        <color rgb="FFB7B7B7"/>
      </bottom>
    </border>
    <border>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medium">
        <color rgb="FF000000"/>
      </right>
      <top style="thin">
        <color rgb="FFB7B7B7"/>
      </top>
      <bottom style="thin">
        <color rgb="FFB7B7B7"/>
      </bottom>
    </border>
    <border>
      <left style="medium">
        <color rgb="FF000000"/>
      </left>
      <top style="thin">
        <color rgb="FFB7B7B7"/>
      </top>
      <bottom style="medium">
        <color rgb="FF000000"/>
      </bottom>
    </border>
    <border>
      <right style="thin">
        <color rgb="FFB7B7B7"/>
      </right>
      <top style="thin">
        <color rgb="FFB7B7B7"/>
      </top>
      <bottom style="medium">
        <color rgb="FF000000"/>
      </bottom>
    </border>
    <border>
      <left style="thin">
        <color rgb="FFB7B7B7"/>
      </left>
      <top style="thin">
        <color rgb="FFB7B7B7"/>
      </top>
      <bottom style="medium">
        <color rgb="FF000000"/>
      </bottom>
    </border>
    <border>
      <top style="thin">
        <color rgb="FFB7B7B7"/>
      </top>
      <bottom style="medium">
        <color rgb="FF000000"/>
      </bottom>
    </border>
    <border>
      <right style="medium">
        <color rgb="FF000000"/>
      </right>
      <top style="thin">
        <color rgb="FFB7B7B7"/>
      </top>
      <bottom style="medium">
        <color rgb="FF000000"/>
      </bottom>
    </border>
    <border>
      <left style="medium">
        <color rgb="FF000000"/>
      </left>
      <top style="medium">
        <color rgb="FF000000"/>
      </top>
    </border>
    <border>
      <left style="medium">
        <color rgb="FF000000"/>
      </left>
    </border>
    <border>
      <right style="medium">
        <color rgb="FF000000"/>
      </right>
    </border>
    <border>
      <bottom style="medium">
        <color rgb="FF000000"/>
      </bottom>
    </border>
    <border>
      <right style="medium">
        <color rgb="FF000000"/>
      </right>
      <bottom style="medium">
        <color rgb="FF000000"/>
      </bottom>
    </border>
    <border>
      <top style="thin">
        <color rgb="FF999999"/>
      </top>
    </border>
    <border>
      <right style="medium">
        <color rgb="FF000000"/>
      </right>
      <top style="thin">
        <color rgb="FF999999"/>
      </top>
    </border>
    <border>
      <left style="medium">
        <color rgb="FF000000"/>
      </left>
      <right style="medium">
        <color rgb="FF000000"/>
      </right>
      <top style="medium">
        <color rgb="FF000000"/>
      </top>
      <bottom style="medium">
        <color rgb="FF000000"/>
      </bottom>
    </border>
    <border>
      <left style="medium">
        <color rgb="FF000000"/>
      </left>
      <right style="thin">
        <color rgb="FF999999"/>
      </right>
      <top style="medium">
        <color rgb="FF000000"/>
      </top>
      <bottom style="thin">
        <color rgb="FF999999"/>
      </bottom>
    </border>
    <border>
      <top style="medium">
        <color rgb="FF000000"/>
      </top>
      <bottom style="thin">
        <color rgb="FF999999"/>
      </bottom>
    </border>
    <border>
      <right style="medium">
        <color rgb="FF000000"/>
      </right>
      <top style="medium">
        <color rgb="FF000000"/>
      </top>
      <bottom style="thin">
        <color rgb="FF999999"/>
      </bottom>
    </border>
    <border>
      <left style="medium">
        <color rgb="FF000000"/>
      </left>
      <right style="thin">
        <color rgb="FF999999"/>
      </right>
      <top style="thin">
        <color rgb="FF999999"/>
      </top>
      <bottom style="thin">
        <color rgb="FF999999"/>
      </bottom>
    </border>
    <border>
      <left style="medium">
        <color rgb="FF000000"/>
      </left>
      <right style="thin">
        <color rgb="FF999999"/>
      </right>
      <top style="thin">
        <color rgb="FF999999"/>
      </top>
      <bottom style="medium">
        <color rgb="FF000000"/>
      </bottom>
    </border>
    <border>
      <left style="medium">
        <color rgb="FF000000"/>
      </left>
      <right style="medium">
        <color rgb="FF000000"/>
      </right>
      <top style="medium">
        <color rgb="FF000000"/>
      </top>
    </border>
    <border>
      <left style="medium">
        <color rgb="FF000000"/>
      </left>
      <right style="thin">
        <color rgb="FF999999"/>
      </right>
      <bottom style="thin">
        <color rgb="FF999999"/>
      </bottom>
    </border>
    <border>
      <left style="thin">
        <color rgb="FF999999"/>
      </left>
      <top style="medium">
        <color rgb="FF000000"/>
      </top>
      <bottom style="thin">
        <color rgb="FF000000"/>
      </bottom>
    </border>
    <border>
      <top style="medium">
        <color rgb="FF000000"/>
      </top>
      <bottom style="thin">
        <color rgb="FF000000"/>
      </bottom>
    </border>
    <border>
      <right style="thin">
        <color rgb="FF999999"/>
      </right>
      <top style="medium">
        <color rgb="FF000000"/>
      </top>
      <bottom style="thin">
        <color rgb="FF000000"/>
      </bottom>
    </border>
    <border>
      <left style="thin">
        <color rgb="FF999999"/>
      </left>
      <bottom style="thin">
        <color rgb="FF000000"/>
      </bottom>
    </border>
    <border>
      <bottom style="thin">
        <color rgb="FF000000"/>
      </bottom>
    </border>
    <border>
      <right style="thin">
        <color rgb="FF999999"/>
      </right>
      <bottom style="thin">
        <color rgb="FF000000"/>
      </bottom>
    </border>
    <border>
      <left style="medium">
        <color rgb="FF000000"/>
      </left>
      <right style="thin">
        <color rgb="FF999999"/>
      </right>
      <top style="medium">
        <color rgb="FF000000"/>
      </top>
    </border>
    <border>
      <left style="medium">
        <color rgb="FF000000"/>
      </left>
      <right style="thin">
        <color rgb="FF999999"/>
      </right>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bottom style="thin">
        <color rgb="FF999999"/>
      </bottom>
    </border>
    <border>
      <left style="thin">
        <color rgb="FF999999"/>
      </left>
      <bottom style="thin">
        <color rgb="FFB7B7B7"/>
      </bottom>
    </border>
    <border>
      <left style="medium">
        <color rgb="FF000000"/>
      </left>
      <right style="thin">
        <color rgb="FF999999"/>
      </right>
      <top style="thin">
        <color rgb="FF999999"/>
      </top>
    </border>
    <border>
      <left style="thin">
        <color rgb="FF999999"/>
      </left>
      <top style="thin">
        <color rgb="FFB7B7B7"/>
      </top>
    </border>
    <border>
      <top style="thin">
        <color rgb="FFB7B7B7"/>
      </top>
    </border>
    <border>
      <right style="medium">
        <color rgb="FF000000"/>
      </right>
      <top style="thin">
        <color rgb="FFB7B7B7"/>
      </top>
    </border>
    <border>
      <left style="medium">
        <color rgb="FF000000"/>
      </left>
      <right style="thin">
        <color rgb="FF999999"/>
      </right>
      <bottom style="medium">
        <color rgb="FF000000"/>
      </bottom>
    </border>
    <border>
      <left style="medium">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999999"/>
      </top>
      <bottom style="medium">
        <color rgb="FF000000"/>
      </bottom>
    </border>
    <border>
      <left style="medium">
        <color rgb="FF666666"/>
      </left>
      <top style="medium">
        <color rgb="FF666666"/>
      </top>
      <bottom style="thin">
        <color rgb="FF999999"/>
      </bottom>
    </border>
    <border>
      <right style="thin">
        <color rgb="FF999999"/>
      </right>
      <top style="medium">
        <color rgb="FF666666"/>
      </top>
      <bottom style="thin">
        <color rgb="FF999999"/>
      </bottom>
    </border>
    <border>
      <left style="thin">
        <color rgb="FF999999"/>
      </left>
      <top style="medium">
        <color rgb="FF666666"/>
      </top>
      <bottom style="thin">
        <color rgb="FF999999"/>
      </bottom>
    </border>
    <border>
      <left style="thin">
        <color rgb="FF666666"/>
      </left>
      <top style="medium">
        <color rgb="FF666666"/>
      </top>
    </border>
    <border>
      <top style="medium">
        <color rgb="FF666666"/>
      </top>
    </border>
    <border>
      <right style="medium">
        <color rgb="FF666666"/>
      </right>
      <top style="medium">
        <color rgb="FF666666"/>
      </top>
    </border>
    <border>
      <left style="medium">
        <color rgb="FF666666"/>
      </left>
      <top style="thin">
        <color rgb="FF999999"/>
      </top>
      <bottom style="thin">
        <color rgb="FF999999"/>
      </bottom>
    </border>
    <border>
      <left style="thin">
        <color rgb="FF666666"/>
      </left>
      <bottom style="thin">
        <color rgb="FF666666"/>
      </bottom>
    </border>
    <border>
      <bottom style="thin">
        <color rgb="FF666666"/>
      </bottom>
    </border>
    <border>
      <right style="medium">
        <color rgb="FF666666"/>
      </right>
      <bottom style="thin">
        <color rgb="FF666666"/>
      </bottom>
    </border>
    <border>
      <right style="medium">
        <color rgb="FF666666"/>
      </right>
      <bottom style="thin">
        <color rgb="FF999999"/>
      </bottom>
    </border>
    <border>
      <right style="medium">
        <color rgb="FF666666"/>
      </right>
      <top style="thin">
        <color rgb="FF999999"/>
      </top>
      <bottom style="thin">
        <color rgb="FF999999"/>
      </bottom>
    </border>
    <border>
      <left style="medium">
        <color rgb="FF666666"/>
      </left>
      <top style="thin">
        <color rgb="FF999999"/>
      </top>
    </border>
    <border>
      <left style="medium">
        <color rgb="FF666666"/>
      </left>
      <bottom style="medium">
        <color rgb="FF666666"/>
      </bottom>
    </border>
    <border>
      <right style="thin">
        <color rgb="FF999999"/>
      </right>
      <bottom style="medium">
        <color rgb="FF666666"/>
      </bottom>
    </border>
    <border>
      <left style="thin">
        <color rgb="FF999999"/>
      </left>
      <bottom style="medium">
        <color rgb="FF666666"/>
      </bottom>
    </border>
    <border>
      <left style="thin">
        <color rgb="FF999999"/>
      </left>
      <top style="thin">
        <color rgb="FF999999"/>
      </top>
      <bottom style="medium">
        <color rgb="FF666666"/>
      </bottom>
    </border>
    <border>
      <right style="thin">
        <color rgb="FF999999"/>
      </right>
      <top style="thin">
        <color rgb="FF999999"/>
      </top>
      <bottom style="medium">
        <color rgb="FF666666"/>
      </bottom>
    </border>
    <border>
      <top style="thin">
        <color rgb="FF999999"/>
      </top>
      <bottom style="medium">
        <color rgb="FF666666"/>
      </bottom>
    </border>
    <border>
      <right style="medium">
        <color rgb="FF666666"/>
      </right>
      <top style="thin">
        <color rgb="FF999999"/>
      </top>
      <bottom style="medium">
        <color rgb="FF666666"/>
      </bottom>
    </border>
    <border>
      <left style="medium">
        <color rgb="FF000000"/>
      </left>
      <right style="thin">
        <color rgb="FF999999"/>
      </right>
      <bottom style="thin">
        <color rgb="FF666666"/>
      </bottom>
    </border>
    <border>
      <left style="thin">
        <color rgb="FF999999"/>
      </left>
      <bottom style="thin">
        <color rgb="FF666666"/>
      </bottom>
    </border>
    <border>
      <right style="thin">
        <color rgb="FF999999"/>
      </right>
      <bottom style="thin">
        <color rgb="FF666666"/>
      </bottom>
    </border>
    <border>
      <right style="medium">
        <color rgb="FF000000"/>
      </right>
      <bottom style="thin">
        <color rgb="FF666666"/>
      </bottom>
    </border>
    <border>
      <left style="medium">
        <color rgb="FF000000"/>
      </left>
      <right style="thin">
        <color rgb="FF999999"/>
      </right>
      <top style="thin">
        <color rgb="FF666666"/>
      </top>
      <bottom style="thin">
        <color rgb="FF666666"/>
      </bottom>
    </border>
    <border>
      <top style="thin">
        <color rgb="FF666666"/>
      </top>
      <bottom style="thin">
        <color rgb="FF666666"/>
      </bottom>
    </border>
    <border>
      <left style="thin">
        <color rgb="FF999999"/>
      </left>
      <top style="thin">
        <color rgb="FF666666"/>
      </top>
      <bottom style="thin">
        <color rgb="FF666666"/>
      </bottom>
    </border>
    <border>
      <right style="thin">
        <color rgb="FF999999"/>
      </right>
      <top style="thin">
        <color rgb="FF666666"/>
      </top>
      <bottom style="thin">
        <color rgb="FF666666"/>
      </bottom>
    </border>
    <border>
      <right style="medium">
        <color rgb="FF000000"/>
      </right>
      <top style="thin">
        <color rgb="FF666666"/>
      </top>
      <bottom style="thin">
        <color rgb="FF666666"/>
      </bottom>
    </border>
    <border>
      <left style="medium">
        <color rgb="FF000000"/>
      </left>
      <right style="thin">
        <color rgb="FF999999"/>
      </right>
      <top style="thin">
        <color rgb="FF666666"/>
      </top>
    </border>
    <border>
      <top style="thin">
        <color rgb="FF666666"/>
      </top>
    </border>
    <border>
      <left style="thin">
        <color rgb="FF999999"/>
      </left>
      <top style="thin">
        <color rgb="FF666666"/>
      </top>
    </border>
    <border>
      <right style="thin">
        <color rgb="FF999999"/>
      </right>
      <top style="thin">
        <color rgb="FF666666"/>
      </top>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medium">
        <color rgb="FF000000"/>
      </bottom>
    </border>
    <border>
      <left style="thin">
        <color rgb="FF999999"/>
      </left>
      <top style="thin">
        <color rgb="FF666666"/>
      </top>
      <bottom style="medium">
        <color rgb="FF000000"/>
      </bottom>
    </border>
    <border>
      <top style="thin">
        <color rgb="FF666666"/>
      </top>
      <bottom style="medium">
        <color rgb="FF000000"/>
      </bottom>
    </border>
    <border>
      <right style="thin">
        <color rgb="FF999999"/>
      </right>
      <top style="thin">
        <color rgb="FF666666"/>
      </top>
      <bottom style="medium">
        <color rgb="FF000000"/>
      </bottom>
    </border>
    <border>
      <right style="medium">
        <color rgb="FF000000"/>
      </right>
      <top style="thin">
        <color rgb="FF666666"/>
      </top>
      <bottom style="medium">
        <color rgb="FF000000"/>
      </bottom>
    </border>
    <border>
      <left style="medium">
        <color rgb="FF000000"/>
      </left>
      <top style="medium">
        <color rgb="FF000000"/>
      </top>
      <bottom style="thin">
        <color rgb="FF666666"/>
      </bottom>
    </border>
    <border>
      <top style="medium">
        <color rgb="FF000000"/>
      </top>
      <bottom style="thin">
        <color rgb="FF666666"/>
      </bottom>
    </border>
    <border>
      <right style="thin">
        <color rgb="FF666666"/>
      </right>
      <top style="medium">
        <color rgb="FF000000"/>
      </top>
      <bottom style="thin">
        <color rgb="FF666666"/>
      </bottom>
    </border>
    <border>
      <left style="thin">
        <color rgb="FF666666"/>
      </left>
      <top style="medium">
        <color rgb="FF000000"/>
      </top>
      <bottom style="thin">
        <color rgb="FF666666"/>
      </bottom>
    </border>
    <border>
      <right style="medium">
        <color rgb="FF000000"/>
      </right>
      <top style="medium">
        <color rgb="FF000000"/>
      </top>
      <bottom style="thin">
        <color rgb="FF666666"/>
      </bottom>
    </border>
    <border>
      <left style="medium">
        <color rgb="FF000000"/>
      </left>
      <top style="thin">
        <color rgb="FF666666"/>
      </top>
      <bottom style="thin">
        <color rgb="FF666666"/>
      </bottom>
    </border>
    <border>
      <right style="thin">
        <color rgb="FF666666"/>
      </right>
      <top style="thin">
        <color rgb="FF666666"/>
      </top>
      <bottom style="thin">
        <color rgb="FF666666"/>
      </bottom>
    </border>
    <border>
      <left style="thin">
        <color rgb="FF666666"/>
      </left>
      <top style="thin">
        <color rgb="FF666666"/>
      </top>
      <bottom style="thin">
        <color rgb="FF666666"/>
      </bottom>
    </border>
    <border>
      <left style="medium">
        <color rgb="FF000000"/>
      </left>
      <top style="thin">
        <color rgb="FF666666"/>
      </top>
      <bottom style="medium">
        <color rgb="FF000000"/>
      </bottom>
    </border>
    <border>
      <right style="thin">
        <color rgb="FF666666"/>
      </right>
      <top style="thin">
        <color rgb="FF666666"/>
      </top>
      <bottom style="medium">
        <color rgb="FF000000"/>
      </bottom>
    </border>
    <border>
      <left style="thin">
        <color rgb="FF666666"/>
      </left>
      <top style="thin">
        <color rgb="FF666666"/>
      </top>
      <bottom style="medium">
        <color rgb="FF000000"/>
      </bottom>
    </border>
    <border>
      <left style="medium">
        <color rgb="FF000000"/>
      </left>
      <top style="thin">
        <color rgb="FF666666"/>
      </top>
    </border>
    <border>
      <left style="thin">
        <color rgb="FF666666"/>
      </left>
      <top style="thin">
        <color rgb="FF666666"/>
      </top>
    </border>
    <border>
      <right style="medium">
        <color rgb="FF000000"/>
      </right>
      <top style="thin">
        <color rgb="FF666666"/>
      </top>
    </border>
    <border>
      <left style="medium">
        <color rgb="FF666666"/>
      </left>
      <top style="medium">
        <color rgb="FF666666"/>
      </top>
      <bottom style="medium">
        <color rgb="FF666666"/>
      </bottom>
    </border>
    <border>
      <top style="medium">
        <color rgb="FF666666"/>
      </top>
      <bottom style="medium">
        <color rgb="FF666666"/>
      </bottom>
    </border>
    <border>
      <right style="medium">
        <color rgb="FF666666"/>
      </right>
      <top style="medium">
        <color rgb="FF666666"/>
      </top>
      <bottom style="medium">
        <color rgb="FF666666"/>
      </bottom>
    </border>
    <border>
      <left style="medium">
        <color rgb="FF000000"/>
      </left>
      <right style="thin">
        <color rgb="FF999999"/>
      </right>
      <top style="medium">
        <color rgb="FF000000"/>
      </top>
      <bottom style="thin">
        <color rgb="FF666666"/>
      </bottom>
    </border>
    <border>
      <left style="thin">
        <color rgb="FF999999"/>
      </left>
      <top style="medium">
        <color rgb="FF000000"/>
      </top>
      <bottom style="thin">
        <color rgb="FF666666"/>
      </bottom>
    </border>
    <border>
      <left style="medium">
        <color rgb="FF000000"/>
      </left>
      <right style="thin">
        <color rgb="FF999999"/>
      </right>
      <top style="thin">
        <color rgb="FF666666"/>
      </top>
      <bottom style="medium">
        <color rgb="FF000000"/>
      </bottom>
    </border>
    <border>
      <right style="thin">
        <color rgb="FF999999"/>
      </right>
      <top style="medium">
        <color rgb="FF000000"/>
      </top>
      <bottom style="thin">
        <color rgb="FF666666"/>
      </bottom>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right style="thin">
        <color rgb="FF999999"/>
      </right>
      <top style="thin">
        <color rgb="FF000000"/>
      </top>
      <bottom style="thin">
        <color rgb="FF000000"/>
      </bottom>
    </border>
    <border>
      <left style="thin">
        <color rgb="FF999999"/>
      </lef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999999"/>
      </right>
      <top style="thin">
        <color rgb="FF000000"/>
      </top>
      <bottom style="medium">
        <color rgb="FF000000"/>
      </bottom>
    </border>
    <border>
      <left style="thin">
        <color rgb="FF999999"/>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999999"/>
      </right>
      <top style="medium">
        <color rgb="FF000000"/>
      </top>
      <bottom style="medium">
        <color rgb="FF999999"/>
      </bottom>
    </border>
    <border>
      <left style="medium">
        <color rgb="FF999999"/>
      </left>
      <top style="medium">
        <color rgb="FF000000"/>
      </top>
      <bottom style="medium">
        <color rgb="FF999999"/>
      </bottom>
    </border>
    <border>
      <top style="medium">
        <color rgb="FF000000"/>
      </top>
      <bottom style="medium">
        <color rgb="FF999999"/>
      </bottom>
    </border>
    <border>
      <right style="medium">
        <color rgb="FF999999"/>
      </right>
      <top style="medium">
        <color rgb="FF000000"/>
      </top>
      <bottom style="medium">
        <color rgb="FF999999"/>
      </bottom>
    </border>
    <border>
      <right style="medium">
        <color rgb="FF000000"/>
      </right>
      <top style="medium">
        <color rgb="FF000000"/>
      </top>
      <bottom style="medium">
        <color rgb="FF999999"/>
      </bottom>
    </border>
    <border>
      <left style="medium">
        <color rgb="FF000000"/>
      </left>
      <right style="medium">
        <color rgb="FF999999"/>
      </right>
      <top style="medium">
        <color rgb="FF999999"/>
      </top>
      <bottom style="medium">
        <color rgb="FF999999"/>
      </bottom>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right style="medium">
        <color rgb="FF000000"/>
      </right>
      <top style="medium">
        <color rgb="FF999999"/>
      </top>
      <bottom style="medium">
        <color rgb="FF999999"/>
      </bottom>
    </border>
    <border>
      <left style="medium">
        <color rgb="FF000000"/>
      </left>
      <right style="medium">
        <color rgb="FF999999"/>
      </right>
      <top style="medium">
        <color rgb="FF999999"/>
      </top>
      <bottom style="medium">
        <color rgb="FF000000"/>
      </bottom>
    </border>
    <border>
      <left style="medium">
        <color rgb="FF999999"/>
      </left>
      <top style="medium">
        <color rgb="FF999999"/>
      </top>
      <bottom style="medium">
        <color rgb="FF000000"/>
      </bottom>
    </border>
    <border>
      <top style="medium">
        <color rgb="FF999999"/>
      </top>
      <bottom style="medium">
        <color rgb="FF000000"/>
      </bottom>
    </border>
    <border>
      <right style="medium">
        <color rgb="FF999999"/>
      </right>
      <top style="medium">
        <color rgb="FF999999"/>
      </top>
      <bottom style="medium">
        <color rgb="FF000000"/>
      </bottom>
    </border>
    <border>
      <right style="medium">
        <color rgb="FF000000"/>
      </right>
      <top style="medium">
        <color rgb="FF999999"/>
      </top>
      <bottom style="medium">
        <color rgb="FF000000"/>
      </bottom>
    </border>
    <border>
      <left style="medium">
        <color rgb="FF000000"/>
      </left>
      <right style="medium">
        <color rgb="FF999999"/>
      </right>
      <top style="medium">
        <color rgb="FF999999"/>
      </top>
    </border>
    <border>
      <left style="medium">
        <color rgb="FF999999"/>
      </left>
      <top style="medium">
        <color rgb="FF999999"/>
      </top>
    </border>
    <border>
      <top style="medium">
        <color rgb="FF999999"/>
      </top>
    </border>
    <border>
      <right style="medium">
        <color rgb="FF999999"/>
      </right>
      <top style="medium">
        <color rgb="FF999999"/>
      </top>
    </border>
    <border>
      <right style="medium">
        <color rgb="FF000000"/>
      </right>
      <top style="medium">
        <color rgb="FF999999"/>
      </top>
    </border>
    <border>
      <right style="medium">
        <color rgb="FF999999"/>
      </right>
      <top style="medium">
        <color rgb="FF000000"/>
      </top>
      <bottom style="medium">
        <color rgb="FF000000"/>
      </bottom>
    </border>
    <border>
      <left style="medium">
        <color rgb="FF000000"/>
      </left>
      <top style="medium">
        <color rgb="FF000000"/>
      </top>
      <bottom style="medium">
        <color rgb="FF999999"/>
      </bottom>
    </border>
    <border>
      <left style="medium">
        <color rgb="FF000000"/>
      </left>
      <top style="medium">
        <color rgb="FF999999"/>
      </top>
      <bottom style="medium">
        <color rgb="FF999999"/>
      </bottom>
    </border>
    <border>
      <left style="medium">
        <color rgb="FF000000"/>
      </left>
      <top style="medium">
        <color rgb="FF999999"/>
      </top>
    </border>
    <border>
      <left style="medium">
        <color rgb="FF999999"/>
      </left>
    </border>
    <border>
      <right style="medium">
        <color rgb="FF999999"/>
      </right>
    </border>
    <border>
      <right style="medium">
        <color rgb="FF999999"/>
      </right>
      <bottom style="medium">
        <color rgb="FF000000"/>
      </bottom>
    </border>
    <border>
      <left style="medium">
        <color rgb="FF999999"/>
      </left>
      <bottom style="medium">
        <color rgb="FF000000"/>
      </bottom>
    </border>
    <border>
      <left style="medium">
        <color rgb="FF666666"/>
      </left>
      <top style="medium">
        <color rgb="FF666666"/>
      </top>
    </border>
    <border>
      <left style="medium">
        <color rgb="FF999999"/>
      </left>
      <top style="medium">
        <color rgb="FF000000"/>
      </top>
      <bottom style="medium">
        <color rgb="FFB7B7B7"/>
      </bottom>
    </border>
    <border>
      <top style="medium">
        <color rgb="FF000000"/>
      </top>
      <bottom style="medium">
        <color rgb="FFB7B7B7"/>
      </bottom>
    </border>
    <border>
      <left style="medium">
        <color rgb="FF999999"/>
      </left>
      <top style="medium">
        <color rgb="FFB7B7B7"/>
      </top>
      <bottom style="medium">
        <color rgb="FFB7B7B7"/>
      </bottom>
    </border>
    <border>
      <top style="medium">
        <color rgb="FFB7B7B7"/>
      </top>
      <bottom style="medium">
        <color rgb="FFB7B7B7"/>
      </bottom>
    </border>
    <border>
      <left style="medium">
        <color rgb="FF999999"/>
      </left>
      <top style="medium">
        <color rgb="FFB7B7B7"/>
      </top>
    </border>
    <border>
      <top style="medium">
        <color rgb="FFB7B7B7"/>
      </top>
    </border>
    <border>
      <left style="medium">
        <color rgb="FF000000"/>
      </left>
      <right style="medium">
        <color rgb="FF999999"/>
      </right>
    </border>
    <border>
      <left style="medium">
        <color rgb="FF999999"/>
      </left>
      <bottom style="medium">
        <color rgb="FFB7B7B7"/>
      </bottom>
    </border>
    <border>
      <bottom style="medium">
        <color rgb="FFB7B7B7"/>
      </bottom>
    </border>
    <border>
      <left style="medium">
        <color rgb="FF999999"/>
      </left>
      <top style="medium">
        <color rgb="FFB7B7B7"/>
      </top>
      <bottom style="medium">
        <color rgb="FF000000"/>
      </bottom>
    </border>
    <border>
      <top style="medium">
        <color rgb="FFB7B7B7"/>
      </top>
      <bottom style="medium">
        <color rgb="FF000000"/>
      </bottom>
    </border>
    <border>
      <left style="medium">
        <color rgb="FF999999"/>
      </left>
      <top style="medium">
        <color rgb="FFB7B7B7"/>
      </top>
      <bottom style="medium">
        <color rgb="FF999999"/>
      </bottom>
    </border>
    <border>
      <top style="medium">
        <color rgb="FFB7B7B7"/>
      </top>
      <bottom style="medium">
        <color rgb="FF999999"/>
      </bottom>
    </border>
    <border>
      <left style="medium">
        <color rgb="FF999999"/>
      </left>
      <bottom style="medium">
        <color rgb="FF999999"/>
      </bottom>
    </border>
    <border>
      <bottom style="medium">
        <color rgb="FF999999"/>
      </bottom>
    </border>
    <border>
      <right style="medium">
        <color rgb="FF999999"/>
      </right>
      <bottom style="medium">
        <color rgb="FF999999"/>
      </bottom>
    </border>
    <border>
      <left style="medium">
        <color rgb="FF999999"/>
      </left>
      <top style="medium">
        <color rgb="FF999999"/>
      </top>
      <bottom style="medium">
        <color rgb="FFB7B7B7"/>
      </bottom>
    </border>
    <border>
      <top style="medium">
        <color rgb="FF999999"/>
      </top>
      <bottom style="medium">
        <color rgb="FFB7B7B7"/>
      </bottom>
    </border>
    <border>
      <right style="medium">
        <color rgb="FF999999"/>
      </right>
      <top style="medium">
        <color rgb="FF999999"/>
      </top>
      <bottom style="medium">
        <color rgb="FFB7B7B7"/>
      </bottom>
    </border>
    <border>
      <left style="medium">
        <color rgb="FF000000"/>
      </left>
      <right style="medium">
        <color rgb="FF999999"/>
      </right>
      <bottom style="medium">
        <color rgb="FF999999"/>
      </bottom>
    </border>
    <border>
      <right style="medium">
        <color rgb="FF000000"/>
      </right>
      <bottom style="medium">
        <color rgb="FF999999"/>
      </bottom>
    </border>
    <border>
      <left style="medium">
        <color rgb="FF999999"/>
      </left>
      <top style="medium">
        <color rgb="FF000000"/>
      </top>
    </border>
    <border>
      <right style="medium">
        <color rgb="FF999999"/>
      </right>
      <top style="medium">
        <color rgb="FF000000"/>
      </top>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top style="medium">
        <color rgb="FF000000"/>
      </top>
      <bottom style="medium">
        <color rgb="FFB7B7B7"/>
      </bottom>
    </border>
    <border>
      <right style="medium">
        <color rgb="FF000000"/>
      </right>
      <top style="medium">
        <color rgb="FF000000"/>
      </top>
      <bottom style="medium">
        <color rgb="FFB7B7B7"/>
      </bottom>
    </border>
    <border>
      <left style="medium">
        <color rgb="FF000000"/>
      </left>
      <top style="medium">
        <color rgb="FFB7B7B7"/>
      </top>
      <bottom style="medium">
        <color rgb="FFB7B7B7"/>
      </bottom>
    </border>
    <border>
      <right style="medium">
        <color rgb="FF000000"/>
      </right>
      <top style="medium">
        <color rgb="FFB7B7B7"/>
      </top>
      <bottom style="medium">
        <color rgb="FFB7B7B7"/>
      </bottom>
    </border>
    <border>
      <left style="medium">
        <color rgb="FF000000"/>
      </left>
      <top style="medium">
        <color rgb="FFB7B7B7"/>
      </top>
      <bottom style="medium">
        <color rgb="FF000000"/>
      </bottom>
    </border>
    <border>
      <right style="medium">
        <color rgb="FF000000"/>
      </right>
      <top style="medium">
        <color rgb="FFB7B7B7"/>
      </top>
      <bottom style="medium">
        <color rgb="FF000000"/>
      </bottom>
    </border>
    <border>
      <left style="medium">
        <color rgb="FF000000"/>
      </left>
      <top style="medium">
        <color rgb="FFB7B7B7"/>
      </top>
    </border>
    <border>
      <right style="medium">
        <color rgb="FF000000"/>
      </right>
      <top style="medium">
        <color rgb="FFB7B7B7"/>
      </top>
    </border>
    <border>
      <right style="medium">
        <color rgb="FFB7B7B7"/>
      </right>
      <top style="medium">
        <color rgb="FF000000"/>
      </top>
      <bottom style="medium">
        <color rgb="FFB7B7B7"/>
      </bottom>
    </border>
    <border>
      <left style="medium">
        <color rgb="FFB7B7B7"/>
      </left>
      <top style="medium">
        <color rgb="FF000000"/>
      </top>
      <bottom style="medium">
        <color rgb="FFB7B7B7"/>
      </bottom>
    </border>
    <border>
      <right style="medium">
        <color rgb="FFB7B7B7"/>
      </right>
      <top style="medium">
        <color rgb="FFB7B7B7"/>
      </top>
    </border>
    <border>
      <left style="medium">
        <color rgb="FFB7B7B7"/>
      </left>
      <top style="medium">
        <color rgb="FFB7B7B7"/>
      </top>
    </border>
    <border>
      <right style="medium">
        <color rgb="FFB7B7B7"/>
      </right>
      <bottom style="medium">
        <color rgb="FF000000"/>
      </bottom>
    </border>
    <border>
      <left style="medium">
        <color rgb="FFB7B7B7"/>
      </left>
      <bottom style="medium">
        <color rgb="FF000000"/>
      </bottom>
    </border>
    <border>
      <left style="medium">
        <color rgb="FF000000"/>
      </left>
      <top style="thin">
        <color rgb="FF000000"/>
      </top>
    </border>
    <border>
      <top style="thin">
        <color rgb="FF000000"/>
      </top>
    </border>
    <border>
      <right style="thin">
        <color rgb="FF999999"/>
      </right>
      <top style="thin">
        <color rgb="FF000000"/>
      </top>
    </border>
    <border>
      <left style="thin">
        <color rgb="FF999999"/>
      </left>
      <top style="thin">
        <color rgb="FF000000"/>
      </top>
    </border>
    <border>
      <left style="thin">
        <color rgb="FF434343"/>
      </left>
      <top style="thin">
        <color rgb="FF000000"/>
      </top>
    </border>
    <border>
      <right style="thin">
        <color rgb="FF434343"/>
      </right>
      <top style="thin">
        <color rgb="FF000000"/>
      </top>
    </border>
    <border>
      <right style="medium">
        <color rgb="FF000000"/>
      </right>
      <top style="thin">
        <color rgb="FF000000"/>
      </top>
    </border>
    <border>
      <left style="thin">
        <color rgb="FF434343"/>
      </left>
      <bottom style="medium">
        <color rgb="FF000000"/>
      </bottom>
    </border>
    <border>
      <right style="thin">
        <color rgb="FF434343"/>
      </right>
      <bottom style="medium">
        <color rgb="FF000000"/>
      </bottom>
    </border>
    <border>
      <left style="medium">
        <color rgb="FF000000"/>
      </left>
      <top style="medium">
        <color rgb="FF666666"/>
      </top>
      <bottom style="thin">
        <color rgb="FF999999"/>
      </bottom>
    </border>
    <border>
      <right style="medium">
        <color rgb="FF000000"/>
      </right>
      <top style="medium">
        <color rgb="FF666666"/>
      </top>
    </border>
    <border>
      <left style="medium">
        <color rgb="FF000000"/>
      </left>
      <bottom style="medium">
        <color rgb="FF666666"/>
      </bottom>
    </border>
    <border>
      <right style="medium">
        <color rgb="FF000000"/>
      </right>
      <top style="thin">
        <color rgb="FF999999"/>
      </top>
      <bottom style="medium">
        <color rgb="FF666666"/>
      </bottom>
    </border>
    <border>
      <left style="thin">
        <color rgb="FF666666"/>
      </left>
      <top style="medium">
        <color rgb="FF000000"/>
      </top>
    </border>
    <border>
      <left style="medium">
        <color rgb="FF000000"/>
      </left>
      <bottom style="thin">
        <color rgb="FF666666"/>
      </bottom>
    </border>
    <border>
      <right style="thin">
        <color rgb="FF666666"/>
      </right>
      <bottom style="thin">
        <color rgb="FF666666"/>
      </bottom>
    </border>
    <border>
      <right style="thin">
        <color rgb="FF666666"/>
      </right>
      <top style="thin">
        <color rgb="FF666666"/>
      </top>
    </border>
    <border>
      <top style="medium">
        <color rgb="FFEF7D01"/>
      </top>
    </border>
    <border>
      <left style="hair">
        <color rgb="FF999999"/>
      </left>
      <top style="hair">
        <color rgb="FF999999"/>
      </top>
      <bottom style="hair">
        <color rgb="FF999999"/>
      </bottom>
    </border>
    <border>
      <top style="hair">
        <color rgb="FF999999"/>
      </top>
      <bottom style="hair">
        <color rgb="FF999999"/>
      </bottom>
    </border>
    <border>
      <right style="hair">
        <color rgb="FF999999"/>
      </right>
      <top style="hair">
        <color rgb="FF999999"/>
      </top>
      <bottom style="hair">
        <color rgb="FF999999"/>
      </bottom>
    </border>
    <border>
      <bottom style="thin">
        <color rgb="FF073763"/>
      </bottom>
    </border>
    <border>
      <left style="thin">
        <color rgb="FF999999"/>
      </left>
      <right style="thin">
        <color rgb="FF999999"/>
      </right>
      <top style="thin">
        <color rgb="FF999999"/>
      </top>
    </border>
    <border>
      <left style="thin">
        <color rgb="FF999999"/>
      </left>
      <right style="thin">
        <color rgb="FFB7B7B7"/>
      </right>
      <top style="thin">
        <color rgb="FF999999"/>
      </top>
    </border>
    <border>
      <left style="thin">
        <color rgb="FFB7B7B7"/>
      </left>
      <top style="thin">
        <color rgb="FFB7B7B7"/>
      </top>
    </border>
    <border>
      <right style="thin">
        <color rgb="FFB7B7B7"/>
      </right>
      <top style="thin">
        <color rgb="FFB7B7B7"/>
      </top>
    </border>
    <border>
      <left style="thin">
        <color rgb="FFB7B7B7"/>
      </left>
    </border>
    <border>
      <right style="thin">
        <color rgb="FFB7B7B7"/>
      </right>
    </border>
    <border>
      <left style="thin">
        <color rgb="FF999999"/>
      </left>
      <right style="thin">
        <color rgb="FFB7B7B7"/>
      </right>
      <bottom style="thin">
        <color rgb="FF999999"/>
      </bottom>
    </border>
    <border>
      <left style="thin">
        <color rgb="FF999999"/>
      </left>
      <right style="thin">
        <color rgb="FFB7B7B7"/>
      </right>
      <top style="thin">
        <color rgb="FF999999"/>
      </top>
      <bottom style="thin">
        <color rgb="FF999999"/>
      </bottom>
    </border>
    <border>
      <bottom style="medium">
        <color rgb="FFEF7D01"/>
      </bottom>
    </border>
  </borders>
  <cellStyleXfs count="1">
    <xf borderId="0" fillId="0" fontId="0" numFmtId="0" applyAlignment="1" applyFont="1"/>
  </cellStyleXfs>
  <cellXfs count="568">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2" numFmtId="0" xfId="0" applyBorder="1" applyFont="1"/>
    <xf borderId="3" fillId="0" fontId="3" numFmtId="0" xfId="0" applyAlignment="1" applyBorder="1" applyFont="1">
      <alignment vertical="bottom"/>
    </xf>
    <xf borderId="3" fillId="3" fontId="1" numFmtId="0" xfId="0" applyAlignment="1" applyBorder="1" applyFill="1" applyFont="1">
      <alignment vertical="bottom"/>
    </xf>
    <xf borderId="3" fillId="0" fontId="3" numFmtId="164" xfId="0" applyAlignment="1" applyBorder="1" applyFont="1" applyNumberFormat="1">
      <alignment horizontal="right" vertical="bottom"/>
    </xf>
    <xf borderId="3" fillId="2" fontId="1" numFmtId="0" xfId="0" applyAlignment="1" applyBorder="1" applyFont="1">
      <alignment vertical="bottom"/>
    </xf>
    <xf borderId="3" fillId="0" fontId="3" numFmtId="0" xfId="0" applyAlignment="1" applyBorder="1" applyFont="1">
      <alignment horizontal="right" vertical="bottom"/>
    </xf>
    <xf borderId="4" fillId="0" fontId="4" numFmtId="0" xfId="0" applyAlignment="1" applyBorder="1" applyFont="1">
      <alignment horizontal="center"/>
    </xf>
    <xf borderId="5" fillId="0" fontId="2" numFmtId="0" xfId="0" applyBorder="1" applyFont="1"/>
    <xf borderId="6" fillId="0" fontId="2" numFmtId="0" xfId="0" applyBorder="1" applyFont="1"/>
    <xf borderId="7" fillId="2" fontId="1" numFmtId="0" xfId="0" applyAlignment="1" applyBorder="1" applyFont="1">
      <alignment vertical="bottom"/>
    </xf>
    <xf borderId="8" fillId="0" fontId="2" numFmtId="0" xfId="0" applyBorder="1" applyFont="1"/>
    <xf borderId="9" fillId="0" fontId="3" numFmtId="0" xfId="0" applyAlignment="1" applyBorder="1" applyFont="1">
      <alignment vertical="bottom"/>
    </xf>
    <xf borderId="9" fillId="3" fontId="1" numFmtId="0" xfId="0" applyAlignment="1" applyBorder="1" applyFont="1">
      <alignment vertical="bottom"/>
    </xf>
    <xf borderId="9" fillId="0" fontId="3" numFmtId="165" xfId="0" applyAlignment="1" applyBorder="1" applyFont="1" applyNumberFormat="1">
      <alignment horizontal="right" vertical="bottom"/>
    </xf>
    <xf borderId="9" fillId="2" fontId="1" numFmtId="0" xfId="0" applyAlignment="1" applyBorder="1" applyFont="1">
      <alignment vertical="bottom"/>
    </xf>
    <xf borderId="10" fillId="0" fontId="2" numFmtId="0" xfId="0" applyBorder="1" applyFont="1"/>
    <xf borderId="11" fillId="0" fontId="2" numFmtId="0" xfId="0" applyBorder="1" applyFont="1"/>
    <xf borderId="12" fillId="0" fontId="2" numFmtId="0" xfId="0" applyBorder="1" applyFont="1"/>
    <xf borderId="9" fillId="0" fontId="4" numFmtId="0" xfId="0" applyAlignment="1" applyBorder="1" applyFont="1">
      <alignment vertical="bottom"/>
    </xf>
    <xf borderId="9" fillId="0" fontId="5" numFmtId="0" xfId="0" applyAlignment="1" applyBorder="1" applyFont="1">
      <alignment horizontal="center" vertical="bottom"/>
    </xf>
    <xf borderId="13" fillId="0" fontId="2" numFmtId="0" xfId="0" applyBorder="1" applyFont="1"/>
    <xf borderId="14" fillId="0" fontId="2" numFmtId="0" xfId="0" applyBorder="1" applyFont="1"/>
    <xf borderId="15" fillId="0" fontId="4" numFmtId="0" xfId="0" applyAlignment="1" applyBorder="1" applyFont="1">
      <alignment vertical="bottom"/>
    </xf>
    <xf borderId="16" fillId="0" fontId="2" numFmtId="0" xfId="0" applyBorder="1" applyFont="1"/>
    <xf borderId="17" fillId="2" fontId="1" numFmtId="0" xfId="0" applyBorder="1" applyFont="1"/>
    <xf borderId="18" fillId="0" fontId="2" numFmtId="0" xfId="0" applyBorder="1" applyFont="1"/>
    <xf borderId="17" fillId="0" fontId="3" numFmtId="0" xfId="0" applyAlignment="1" applyBorder="1" applyFont="1">
      <alignment horizontal="center"/>
    </xf>
    <xf borderId="9" fillId="0" fontId="3" numFmtId="0" xfId="0" applyAlignment="1" applyBorder="1" applyFont="1">
      <alignment horizontal="center" vertical="bottom"/>
    </xf>
    <xf borderId="19" fillId="2" fontId="1" numFmtId="0" xfId="0" applyBorder="1" applyFont="1"/>
    <xf borderId="17" fillId="0" fontId="3" numFmtId="0" xfId="0" applyAlignment="1" applyBorder="1" applyFont="1">
      <alignment vertical="bottom"/>
    </xf>
    <xf borderId="10" fillId="0" fontId="3" numFmtId="164" xfId="0" applyAlignment="1" applyBorder="1" applyFont="1" applyNumberFormat="1">
      <alignment horizontal="right" vertical="bottom"/>
    </xf>
    <xf borderId="20" fillId="0" fontId="2" numFmtId="0" xfId="0" applyBorder="1" applyFont="1"/>
    <xf borderId="21" fillId="0" fontId="2" numFmtId="0" xfId="0" applyBorder="1" applyFont="1"/>
    <xf borderId="22" fillId="0" fontId="2" numFmtId="0" xfId="0" applyBorder="1" applyFont="1"/>
    <xf borderId="17" fillId="3" fontId="1" numFmtId="0" xfId="0" applyBorder="1" applyFont="1"/>
    <xf borderId="17" fillId="0" fontId="4" numFmtId="0" xfId="0" applyAlignment="1" applyBorder="1" applyFont="1">
      <alignment vertical="bottom"/>
    </xf>
    <xf borderId="9" fillId="0" fontId="6" numFmtId="0" xfId="0" applyAlignment="1" applyBorder="1" applyFont="1">
      <alignment horizontal="center" vertical="bottom"/>
    </xf>
    <xf borderId="23" fillId="0" fontId="2" numFmtId="0" xfId="0" applyBorder="1" applyFont="1"/>
    <xf borderId="24" fillId="0" fontId="2" numFmtId="0" xfId="0" applyBorder="1" applyFont="1"/>
    <xf borderId="25" fillId="0" fontId="2" numFmtId="0" xfId="0" applyBorder="1" applyFont="1"/>
    <xf borderId="26" fillId="3" fontId="1" numFmtId="0" xfId="0" applyAlignment="1" applyBorder="1" applyFont="1">
      <alignment vertical="bottom"/>
    </xf>
    <xf borderId="27" fillId="0" fontId="2" numFmtId="0" xfId="0" applyBorder="1" applyFont="1"/>
    <xf borderId="26" fillId="0" fontId="3" numFmtId="0" xfId="0" applyAlignment="1" applyBorder="1" applyFont="1">
      <alignment vertical="bottom"/>
    </xf>
    <xf borderId="26" fillId="0" fontId="4" numFmtId="0" xfId="0" applyAlignment="1" applyBorder="1" applyFont="1">
      <alignment vertical="bottom"/>
    </xf>
    <xf borderId="26" fillId="0" fontId="6" numFmtId="0" xfId="0" applyAlignment="1" applyBorder="1" applyFont="1">
      <alignment horizontal="center" vertical="bottom"/>
    </xf>
    <xf borderId="28" fillId="0" fontId="2" numFmtId="0" xfId="0" applyBorder="1" applyFont="1"/>
    <xf borderId="29" fillId="0" fontId="2" numFmtId="0" xfId="0" applyBorder="1" applyFont="1"/>
    <xf borderId="30" fillId="0" fontId="3" numFmtId="0" xfId="0" applyAlignment="1" applyBorder="1" applyFont="1">
      <alignment horizontal="center"/>
    </xf>
    <xf borderId="31" fillId="0" fontId="2" numFmtId="0" xfId="0" applyBorder="1" applyFont="1"/>
    <xf borderId="32" fillId="0" fontId="2" numFmtId="0" xfId="0" applyBorder="1" applyFont="1"/>
    <xf borderId="30" fillId="2" fontId="7" numFmtId="0" xfId="0" applyAlignment="1" applyBorder="1" applyFont="1">
      <alignment horizontal="center"/>
    </xf>
    <xf borderId="30" fillId="0" fontId="7" numFmtId="0" xfId="0" applyAlignment="1" applyBorder="1" applyFont="1">
      <alignment horizontal="center"/>
    </xf>
    <xf borderId="33" fillId="0" fontId="3" numFmtId="0" xfId="0" applyBorder="1" applyFont="1"/>
    <xf borderId="34" fillId="0" fontId="2" numFmtId="0" xfId="0" applyBorder="1" applyFont="1"/>
    <xf borderId="35" fillId="0" fontId="3" numFmtId="0" xfId="0" applyBorder="1" applyFont="1"/>
    <xf borderId="36" fillId="0" fontId="2" numFmtId="0" xfId="0" applyBorder="1" applyFont="1"/>
    <xf borderId="35" fillId="0" fontId="8" numFmtId="0" xfId="0" applyAlignment="1" applyBorder="1" applyFont="1">
      <alignment horizontal="center"/>
    </xf>
    <xf borderId="37" fillId="0" fontId="2" numFmtId="0" xfId="0" applyBorder="1" applyFont="1"/>
    <xf borderId="38" fillId="0" fontId="3" numFmtId="0" xfId="0" applyBorder="1" applyFont="1"/>
    <xf borderId="39" fillId="0" fontId="2" numFmtId="0" xfId="0" applyBorder="1" applyFont="1"/>
    <xf borderId="40" fillId="0" fontId="3" numFmtId="0" xfId="0" applyBorder="1" applyFont="1"/>
    <xf borderId="41" fillId="0" fontId="2" numFmtId="0" xfId="0" applyBorder="1" applyFont="1"/>
    <xf borderId="40" fillId="0" fontId="9" numFmtId="0" xfId="0" applyAlignment="1" applyBorder="1" applyFont="1">
      <alignment horizontal="center"/>
    </xf>
    <xf borderId="42" fillId="0" fontId="2" numFmtId="0" xfId="0" applyBorder="1" applyFont="1"/>
    <xf borderId="40" fillId="0" fontId="10" numFmtId="0" xfId="0" applyAlignment="1" applyBorder="1" applyFont="1">
      <alignment shrinkToFit="0" vertical="bottom" wrapText="1"/>
    </xf>
    <xf borderId="40" fillId="0" fontId="3" numFmtId="0" xfId="0" applyAlignment="1" applyBorder="1" applyFont="1">
      <alignment horizontal="center"/>
    </xf>
    <xf borderId="0" fillId="0" fontId="11" numFmtId="0" xfId="0" applyFont="1"/>
    <xf borderId="39" fillId="0" fontId="3" numFmtId="0" xfId="0" applyBorder="1" applyFont="1"/>
    <xf borderId="43" fillId="0" fontId="3" numFmtId="0" xfId="0" applyBorder="1" applyFont="1"/>
    <xf borderId="44" fillId="0" fontId="2" numFmtId="0" xfId="0" applyBorder="1" applyFont="1"/>
    <xf borderId="45" fillId="0" fontId="3" numFmtId="0" xfId="0" applyBorder="1" applyFont="1"/>
    <xf borderId="46" fillId="0" fontId="2" numFmtId="0" xfId="0" applyBorder="1" applyFont="1"/>
    <xf borderId="47" fillId="0" fontId="2" numFmtId="0" xfId="0" applyBorder="1" applyFont="1"/>
    <xf borderId="30" fillId="0" fontId="3" numFmtId="0" xfId="0" applyBorder="1" applyFont="1"/>
    <xf borderId="30" fillId="0" fontId="7" numFmtId="0" xfId="0" applyBorder="1" applyFont="1"/>
    <xf borderId="48" fillId="0" fontId="3" numFmtId="0" xfId="0" applyBorder="1" applyFont="1"/>
    <xf borderId="48" fillId="0" fontId="7" numFmtId="0" xfId="0" applyAlignment="1" applyBorder="1" applyFont="1">
      <alignment horizontal="center" shrinkToFit="0" vertical="center" wrapText="1"/>
    </xf>
    <xf borderId="49" fillId="0" fontId="2" numFmtId="0" xfId="0" applyBorder="1" applyFont="1"/>
    <xf borderId="50" fillId="0" fontId="2" numFmtId="0" xfId="0" applyBorder="1" applyFont="1"/>
    <xf borderId="51" fillId="0" fontId="2" numFmtId="0" xfId="0" applyBorder="1" applyFont="1"/>
    <xf borderId="52" fillId="0" fontId="2" numFmtId="0" xfId="0" applyBorder="1" applyFont="1"/>
    <xf borderId="0" fillId="0" fontId="3" numFmtId="0" xfId="0" applyFont="1"/>
    <xf borderId="17" fillId="3" fontId="1" numFmtId="0" xfId="0" applyAlignment="1" applyBorder="1" applyFont="1">
      <alignment vertical="bottom"/>
    </xf>
    <xf borderId="17" fillId="0" fontId="6" numFmtId="0" xfId="0" applyAlignment="1" applyBorder="1" applyFont="1">
      <alignment horizontal="center" vertical="bottom"/>
    </xf>
    <xf borderId="53" fillId="0" fontId="2" numFmtId="0" xfId="0" applyBorder="1" applyFont="1"/>
    <xf borderId="54" fillId="0" fontId="2" numFmtId="0" xfId="0" applyBorder="1" applyFont="1"/>
    <xf borderId="55" fillId="0" fontId="7" numFmtId="0" xfId="0" applyAlignment="1" applyBorder="1" applyFont="1">
      <alignment horizontal="center"/>
    </xf>
    <xf borderId="56" fillId="0" fontId="3" numFmtId="0" xfId="0" applyBorder="1" applyFont="1"/>
    <xf borderId="3" fillId="0" fontId="3" numFmtId="0" xfId="0" applyBorder="1" applyFont="1"/>
    <xf borderId="57" fillId="0" fontId="2" numFmtId="0" xfId="0" applyBorder="1" applyFont="1"/>
    <xf borderId="58" fillId="0" fontId="2" numFmtId="0" xfId="0" applyBorder="1" applyFont="1"/>
    <xf borderId="59" fillId="0" fontId="3" numFmtId="0" xfId="0" applyBorder="1" applyFont="1"/>
    <xf borderId="9" fillId="0" fontId="3" numFmtId="0" xfId="0" applyBorder="1" applyFont="1"/>
    <xf borderId="9" fillId="0" fontId="3" numFmtId="166" xfId="0" applyBorder="1" applyFont="1" applyNumberFormat="1"/>
    <xf borderId="9" fillId="0" fontId="3" numFmtId="0" xfId="0" applyAlignment="1" applyBorder="1" applyFont="1">
      <alignment shrinkToFit="0" wrapText="1"/>
    </xf>
    <xf borderId="60" fillId="0" fontId="3" numFmtId="0" xfId="0" applyBorder="1" applyFont="1"/>
    <xf borderId="26" fillId="0" fontId="3" numFmtId="0" xfId="0" applyBorder="1" applyFont="1"/>
    <xf borderId="61" fillId="0" fontId="7" numFmtId="0" xfId="0" applyAlignment="1" applyBorder="1" applyFont="1">
      <alignment horizontal="center"/>
    </xf>
    <xf borderId="48" fillId="0" fontId="7" numFmtId="0" xfId="0" applyAlignment="1" applyBorder="1" applyFont="1">
      <alignment horizontal="center"/>
    </xf>
    <xf borderId="9" fillId="0" fontId="4" numFmtId="165" xfId="0" applyAlignment="1" applyBorder="1" applyFont="1" applyNumberFormat="1">
      <alignment vertical="bottom"/>
    </xf>
    <xf borderId="1" fillId="0" fontId="1" numFmtId="0" xfId="0" applyBorder="1" applyFont="1"/>
    <xf borderId="3" fillId="0" fontId="1" numFmtId="0" xfId="0" applyBorder="1" applyFont="1"/>
    <xf borderId="3" fillId="0" fontId="3" numFmtId="166" xfId="0" applyBorder="1" applyFont="1" applyNumberFormat="1"/>
    <xf borderId="7" fillId="0" fontId="1" numFmtId="0" xfId="0" applyBorder="1" applyFont="1"/>
    <xf borderId="9" fillId="0" fontId="1" numFmtId="0" xfId="0" applyBorder="1" applyFont="1"/>
    <xf borderId="9" fillId="0" fontId="3" numFmtId="165" xfId="0" applyBorder="1" applyFont="1" applyNumberFormat="1"/>
    <xf borderId="19" fillId="0" fontId="1" numFmtId="0" xfId="0" applyBorder="1" applyFont="1"/>
    <xf borderId="17" fillId="0" fontId="3" numFmtId="0" xfId="0" applyBorder="1" applyFont="1"/>
    <xf borderId="17" fillId="0" fontId="1" numFmtId="0" xfId="0" applyBorder="1" applyFont="1"/>
    <xf borderId="17" fillId="0" fontId="3" numFmtId="0" xfId="0" applyAlignment="1" applyBorder="1" applyFont="1">
      <alignment shrinkToFit="0" wrapText="1"/>
    </xf>
    <xf borderId="62" fillId="0" fontId="3" numFmtId="0" xfId="0" applyBorder="1" applyFont="1"/>
    <xf borderId="10" fillId="0" fontId="3" numFmtId="0" xfId="0" applyBorder="1" applyFont="1"/>
    <xf borderId="11" fillId="0" fontId="12" numFmtId="0" xfId="0" applyBorder="1" applyFont="1"/>
    <xf borderId="11" fillId="0" fontId="13" numFmtId="0" xfId="0" applyBorder="1" applyFont="1"/>
    <xf borderId="11" fillId="0" fontId="14" numFmtId="0" xfId="0" applyBorder="1" applyFont="1"/>
    <xf borderId="11" fillId="0" fontId="15" numFmtId="0" xfId="0" applyAlignment="1" applyBorder="1" applyFont="1">
      <alignment shrinkToFit="0" wrapText="1"/>
    </xf>
    <xf borderId="63" fillId="0" fontId="3" numFmtId="0" xfId="0" applyBorder="1" applyFont="1"/>
    <xf borderId="64" fillId="0" fontId="2" numFmtId="0" xfId="0" applyBorder="1" applyFont="1"/>
    <xf borderId="65" fillId="0" fontId="2" numFmtId="0" xfId="0" applyBorder="1" applyFont="1"/>
    <xf borderId="9" fillId="0" fontId="16" numFmtId="0" xfId="0" applyAlignment="1" applyBorder="1" applyFont="1">
      <alignment shrinkToFit="0" wrapText="1"/>
    </xf>
    <xf borderId="66" fillId="0" fontId="3" numFmtId="0" xfId="0" applyBorder="1" applyFont="1"/>
    <xf borderId="67" fillId="0" fontId="2" numFmtId="0" xfId="0" applyBorder="1" applyFont="1"/>
    <xf borderId="68" fillId="0" fontId="2" numFmtId="0" xfId="0" applyBorder="1" applyFont="1"/>
    <xf borderId="48" fillId="0" fontId="7" numFmtId="0" xfId="0" applyAlignment="1" applyBorder="1" applyFont="1">
      <alignment horizontal="center" vertical="center"/>
    </xf>
    <xf borderId="48" fillId="0" fontId="3" numFmtId="0" xfId="0" applyAlignment="1" applyBorder="1" applyFont="1">
      <alignment horizontal="center" vertical="center"/>
    </xf>
    <xf borderId="48" fillId="0" fontId="3" numFmtId="0" xfId="0" applyAlignment="1" applyBorder="1" applyFont="1">
      <alignment shrinkToFit="0" wrapText="1"/>
    </xf>
    <xf borderId="30" fillId="0" fontId="3" numFmtId="0" xfId="0" applyAlignment="1" applyBorder="1" applyFont="1">
      <alignment horizontal="center" readingOrder="0"/>
    </xf>
    <xf borderId="3" fillId="0" fontId="17" numFmtId="0" xfId="0" applyAlignment="1" applyBorder="1" applyFont="1">
      <alignment readingOrder="0"/>
    </xf>
    <xf borderId="3" fillId="0" fontId="3" numFmtId="0" xfId="0" applyAlignment="1" applyBorder="1" applyFont="1">
      <alignment readingOrder="0"/>
    </xf>
    <xf borderId="9" fillId="0" fontId="3" numFmtId="0" xfId="0" applyAlignment="1" applyBorder="1" applyFont="1">
      <alignment readingOrder="0"/>
    </xf>
    <xf borderId="17" fillId="0" fontId="3" numFmtId="0" xfId="0" applyAlignment="1" applyBorder="1" applyFont="1">
      <alignment readingOrder="0"/>
    </xf>
    <xf borderId="69" fillId="0" fontId="7" numFmtId="0" xfId="0" applyAlignment="1" applyBorder="1" applyFont="1">
      <alignment horizontal="center"/>
    </xf>
    <xf borderId="48" fillId="0" fontId="3" numFmtId="0" xfId="0" applyAlignment="1" applyBorder="1" applyFont="1">
      <alignment horizontal="left" readingOrder="0" shrinkToFit="0" wrapText="1"/>
    </xf>
    <xf borderId="70" fillId="0" fontId="2" numFmtId="0" xfId="0" applyBorder="1" applyFont="1"/>
    <xf borderId="62" fillId="0" fontId="2" numFmtId="0" xfId="0" applyBorder="1" applyFont="1"/>
    <xf borderId="61" fillId="0" fontId="3" numFmtId="0" xfId="0" applyBorder="1" applyFont="1"/>
    <xf borderId="48" fillId="0" fontId="3" numFmtId="0" xfId="0" applyAlignment="1" applyBorder="1" applyFont="1">
      <alignment readingOrder="0" shrinkToFit="0" wrapText="1"/>
    </xf>
    <xf borderId="71" fillId="0" fontId="2" numFmtId="0" xfId="0" applyBorder="1" applyFont="1"/>
    <xf borderId="72" fillId="0" fontId="2" numFmtId="0" xfId="0" applyBorder="1" applyFont="1"/>
    <xf borderId="71" fillId="0" fontId="3" numFmtId="0" xfId="0" applyBorder="1" applyFont="1"/>
    <xf borderId="49" fillId="0" fontId="7" numFmtId="0" xfId="0" applyAlignment="1" applyBorder="1" applyFont="1">
      <alignment horizontal="center" vertical="center"/>
    </xf>
    <xf borderId="48" fillId="0" fontId="3" numFmtId="0" xfId="0" applyAlignment="1" applyBorder="1" applyFont="1">
      <alignment readingOrder="0"/>
    </xf>
    <xf borderId="73" fillId="0" fontId="2" numFmtId="0" xfId="0" applyBorder="1" applyFont="1"/>
    <xf borderId="30" fillId="3" fontId="7" numFmtId="0" xfId="0" applyAlignment="1" applyBorder="1" applyFont="1">
      <alignment horizontal="center"/>
    </xf>
    <xf borderId="55" fillId="3" fontId="7" numFmtId="0" xfId="0" applyAlignment="1" applyBorder="1" applyFont="1">
      <alignment horizontal="center"/>
    </xf>
    <xf borderId="69" fillId="0" fontId="3" numFmtId="0" xfId="0" applyAlignment="1" applyBorder="1" applyFont="1">
      <alignment horizontal="center" vertical="center"/>
    </xf>
    <xf borderId="4" fillId="0" fontId="3" numFmtId="0" xfId="0" applyAlignment="1" applyBorder="1" applyFont="1">
      <alignment readingOrder="0"/>
    </xf>
    <xf borderId="74" fillId="0" fontId="2" numFmtId="0" xfId="0" applyBorder="1" applyFont="1"/>
    <xf borderId="75" fillId="0" fontId="3" numFmtId="0" xfId="0" applyAlignment="1" applyBorder="1" applyFont="1">
      <alignment horizontal="center" vertical="center"/>
    </xf>
    <xf borderId="76" fillId="0" fontId="3" numFmtId="0" xfId="0" applyAlignment="1" applyBorder="1" applyFont="1">
      <alignment readingOrder="0"/>
    </xf>
    <xf borderId="77" fillId="0" fontId="2" numFmtId="0" xfId="0" applyBorder="1" applyFont="1"/>
    <xf borderId="76" fillId="0" fontId="3" numFmtId="0" xfId="0" applyBorder="1" applyFont="1"/>
    <xf borderId="78" fillId="0" fontId="2" numFmtId="0" xfId="0" applyBorder="1" applyFont="1"/>
    <xf borderId="79" fillId="0" fontId="2" numFmtId="0" xfId="0" applyBorder="1" applyFont="1"/>
    <xf borderId="30" fillId="0" fontId="7" numFmtId="0" xfId="0" applyAlignment="1" applyBorder="1" applyFont="1">
      <alignment horizontal="center" vertical="center"/>
    </xf>
    <xf borderId="23" fillId="2" fontId="7" numFmtId="0" xfId="0" applyAlignment="1" applyBorder="1" applyFont="1">
      <alignment horizontal="left" vertical="center"/>
    </xf>
    <xf borderId="23" fillId="0" fontId="3" numFmtId="0" xfId="0" applyAlignment="1" applyBorder="1" applyFont="1">
      <alignment horizontal="center" vertical="center"/>
    </xf>
    <xf borderId="30" fillId="2" fontId="7" numFmtId="0" xfId="0" applyAlignment="1" applyBorder="1" applyFont="1">
      <alignment horizontal="center" vertical="center"/>
    </xf>
    <xf borderId="30" fillId="0" fontId="3" numFmtId="0" xfId="0" applyAlignment="1" applyBorder="1" applyFont="1">
      <alignment horizontal="center" vertical="center"/>
    </xf>
    <xf borderId="30" fillId="2" fontId="7" numFmtId="0" xfId="0" applyAlignment="1" applyBorder="1" applyFont="1">
      <alignment horizontal="left" vertical="center"/>
    </xf>
    <xf borderId="30" fillId="0" fontId="7" numFmtId="0" xfId="0" applyAlignment="1" applyBorder="1" applyFont="1">
      <alignment horizontal="center" readingOrder="0"/>
    </xf>
    <xf borderId="55" fillId="0" fontId="3" numFmtId="0" xfId="0" applyBorder="1" applyFont="1"/>
    <xf borderId="30" fillId="0" fontId="3" numFmtId="0" xfId="0" applyAlignment="1" applyBorder="1" applyFont="1">
      <alignment readingOrder="0"/>
    </xf>
    <xf borderId="31" fillId="0" fontId="3" numFmtId="0" xfId="0" applyBorder="1" applyFont="1"/>
    <xf borderId="32" fillId="0" fontId="3" numFmtId="0" xfId="0" applyBorder="1" applyFont="1"/>
    <xf borderId="3" fillId="0" fontId="3" numFmtId="0" xfId="0" applyAlignment="1" applyBorder="1" applyFont="1">
      <alignment shrinkToFit="0" vertical="bottom" wrapText="1"/>
    </xf>
    <xf borderId="55" fillId="0" fontId="7" numFmtId="0" xfId="0" applyBorder="1" applyFont="1"/>
    <xf borderId="80" fillId="0" fontId="3" numFmtId="0" xfId="0" applyAlignment="1" applyBorder="1" applyFont="1">
      <alignment shrinkToFit="0" wrapText="1"/>
    </xf>
    <xf borderId="81" fillId="0" fontId="3" numFmtId="0" xfId="0" applyAlignment="1" applyBorder="1" applyFont="1">
      <alignment shrinkToFit="0" wrapText="1"/>
    </xf>
    <xf borderId="82" fillId="0" fontId="2" numFmtId="0" xfId="0" applyBorder="1" applyFont="1"/>
    <xf borderId="83" fillId="0" fontId="2" numFmtId="0" xfId="0" applyBorder="1" applyFont="1"/>
    <xf borderId="84" fillId="0" fontId="3" numFmtId="0" xfId="0" applyAlignment="1" applyBorder="1" applyFont="1">
      <alignment shrinkToFit="0" wrapText="1"/>
    </xf>
    <xf borderId="85" fillId="0" fontId="3" numFmtId="0" xfId="0" applyAlignment="1" applyBorder="1" applyFont="1">
      <alignment shrinkToFit="0" wrapText="1"/>
    </xf>
    <xf borderId="86" fillId="0" fontId="2" numFmtId="0" xfId="0" applyBorder="1" applyFont="1"/>
    <xf borderId="87" fillId="0" fontId="2" numFmtId="0" xfId="0" applyBorder="1" applyFont="1"/>
    <xf borderId="88" fillId="0" fontId="2" numFmtId="0" xfId="0" applyBorder="1" applyFont="1"/>
    <xf borderId="23" fillId="0" fontId="3" numFmtId="0" xfId="0" applyAlignment="1" applyBorder="1" applyFont="1">
      <alignment shrinkToFit="0" wrapText="1"/>
    </xf>
    <xf borderId="30" fillId="0" fontId="3" numFmtId="0" xfId="0" applyAlignment="1" applyBorder="1" applyFont="1">
      <alignment horizontal="center" shrinkToFit="0" wrapText="1"/>
    </xf>
    <xf borderId="61" fillId="0" fontId="7" numFmtId="0" xfId="0" applyAlignment="1" applyBorder="1" applyFont="1">
      <alignment shrinkToFit="0" wrapText="1"/>
    </xf>
    <xf borderId="48" fillId="0" fontId="7" numFmtId="0" xfId="0" applyAlignment="1" applyBorder="1" applyFont="1">
      <alignment shrinkToFit="0" wrapText="1"/>
    </xf>
    <xf borderId="89" fillId="0" fontId="3" numFmtId="0" xfId="0" applyAlignment="1" applyBorder="1" applyFont="1">
      <alignment shrinkToFit="0" wrapText="1"/>
    </xf>
    <xf borderId="90" fillId="0" fontId="3" numFmtId="0" xfId="0" applyAlignment="1" applyBorder="1" applyFont="1">
      <alignment shrinkToFit="0" wrapText="1"/>
    </xf>
    <xf borderId="91" fillId="0" fontId="2" numFmtId="0" xfId="0" applyBorder="1" applyFont="1"/>
    <xf borderId="92" fillId="0" fontId="2" numFmtId="0" xfId="0" applyBorder="1" applyFont="1"/>
    <xf borderId="23" fillId="0" fontId="3" numFmtId="0" xfId="0" applyBorder="1" applyFont="1"/>
    <xf borderId="23" fillId="0" fontId="7" numFmtId="0" xfId="0" applyAlignment="1" applyBorder="1" applyFont="1">
      <alignment horizontal="center"/>
    </xf>
    <xf borderId="0" fillId="0" fontId="18" numFmtId="0" xfId="0" applyFont="1"/>
    <xf borderId="30" fillId="0" fontId="3" numFmtId="0" xfId="0" applyAlignment="1" applyBorder="1" applyFont="1">
      <alignment shrinkToFit="0" wrapText="1"/>
    </xf>
    <xf borderId="55" fillId="0" fontId="18" numFmtId="0" xfId="0" applyBorder="1" applyFont="1"/>
    <xf borderId="9" fillId="0" fontId="16" numFmtId="0" xfId="0" applyAlignment="1" applyBorder="1" applyFont="1">
      <alignment vertical="bottom"/>
    </xf>
    <xf borderId="0" fillId="4" fontId="19" numFmtId="0" xfId="0" applyAlignment="1" applyFill="1" applyFont="1">
      <alignment readingOrder="0"/>
    </xf>
    <xf borderId="50" fillId="0" fontId="3" numFmtId="0" xfId="0" applyBorder="1" applyFont="1"/>
    <xf borderId="0" fillId="4" fontId="19" numFmtId="0" xfId="0" applyFont="1"/>
    <xf borderId="0" fillId="4" fontId="19" numFmtId="0" xfId="0" applyAlignment="1" applyFont="1">
      <alignment readingOrder="0" shrinkToFit="0" wrapText="1"/>
    </xf>
    <xf borderId="0" fillId="4" fontId="20" numFmtId="0" xfId="0" applyAlignment="1" applyFont="1">
      <alignment readingOrder="0"/>
    </xf>
    <xf borderId="0" fillId="0" fontId="3" numFmtId="0" xfId="0" applyAlignment="1" applyFont="1">
      <alignment shrinkToFit="0" vertical="top" wrapText="1"/>
    </xf>
    <xf borderId="50" fillId="0" fontId="3" numFmtId="0" xfId="0" applyAlignment="1" applyBorder="1" applyFont="1">
      <alignment shrinkToFit="0" vertical="top" wrapText="1"/>
    </xf>
    <xf borderId="30" fillId="0" fontId="3" numFmtId="0" xfId="0" applyAlignment="1" applyBorder="1" applyFont="1">
      <alignment horizontal="center" readingOrder="0" vertical="center"/>
    </xf>
    <xf borderId="48" fillId="0" fontId="1" numFmtId="0" xfId="0" applyAlignment="1" applyBorder="1" applyFont="1">
      <alignment horizontal="center"/>
    </xf>
    <xf borderId="1" fillId="0" fontId="3" numFmtId="0" xfId="0" applyBorder="1" applyFont="1"/>
    <xf borderId="7" fillId="0" fontId="3" numFmtId="0" xfId="0" applyBorder="1" applyFont="1"/>
    <xf borderId="93" fillId="0" fontId="3" numFmtId="0" xfId="0" applyBorder="1" applyFont="1"/>
    <xf borderId="51" fillId="0" fontId="3" numFmtId="0" xfId="0" applyAlignment="1" applyBorder="1" applyFont="1">
      <alignment horizontal="center" vertical="center"/>
    </xf>
    <xf borderId="31" fillId="0" fontId="3" numFmtId="0" xfId="0" applyAlignment="1" applyBorder="1" applyFont="1">
      <alignment horizontal="center" vertical="center"/>
    </xf>
    <xf borderId="94" fillId="2" fontId="1" numFmtId="0" xfId="0" applyAlignment="1" applyBorder="1" applyFont="1">
      <alignment vertical="bottom"/>
    </xf>
    <xf borderId="95" fillId="0" fontId="2" numFmtId="0" xfId="0" applyBorder="1" applyFont="1"/>
    <xf borderId="96" fillId="0" fontId="3" numFmtId="0" xfId="0" applyAlignment="1" applyBorder="1" applyFont="1">
      <alignment vertical="bottom"/>
    </xf>
    <xf borderId="96" fillId="3" fontId="1" numFmtId="0" xfId="0" applyAlignment="1" applyBorder="1" applyFont="1">
      <alignment vertical="bottom"/>
    </xf>
    <xf borderId="96" fillId="0" fontId="3" numFmtId="164" xfId="0" applyAlignment="1" applyBorder="1" applyFont="1" applyNumberFormat="1">
      <alignment horizontal="right" vertical="bottom"/>
    </xf>
    <xf borderId="96" fillId="2" fontId="1" numFmtId="0" xfId="0" applyAlignment="1" applyBorder="1" applyFont="1">
      <alignment vertical="bottom"/>
    </xf>
    <xf borderId="96" fillId="0" fontId="3" numFmtId="0" xfId="0" applyAlignment="1" applyBorder="1" applyFont="1">
      <alignment horizontal="right" vertical="bottom"/>
    </xf>
    <xf borderId="97" fillId="0" fontId="4" numFmtId="0" xfId="0" applyAlignment="1" applyBorder="1" applyFont="1">
      <alignment horizontal="center"/>
    </xf>
    <xf borderId="98" fillId="0" fontId="2" numFmtId="0" xfId="0" applyBorder="1" applyFont="1"/>
    <xf borderId="99" fillId="0" fontId="2" numFmtId="0" xfId="0" applyBorder="1" applyFont="1"/>
    <xf borderId="100" fillId="2" fontId="1" numFmtId="0" xfId="0" applyAlignment="1" applyBorder="1" applyFont="1">
      <alignment vertical="bottom"/>
    </xf>
    <xf borderId="101" fillId="0" fontId="2" numFmtId="0" xfId="0" applyBorder="1" applyFont="1"/>
    <xf borderId="102" fillId="0" fontId="2" numFmtId="0" xfId="0" applyBorder="1" applyFont="1"/>
    <xf borderId="103" fillId="0" fontId="2" numFmtId="0" xfId="0" applyBorder="1" applyFont="1"/>
    <xf borderId="10" fillId="0" fontId="5" numFmtId="0" xfId="0" applyAlignment="1" applyBorder="1" applyFont="1">
      <alignment horizontal="center" vertical="bottom"/>
    </xf>
    <xf borderId="104" fillId="0" fontId="2" numFmtId="0" xfId="0" applyBorder="1" applyFont="1"/>
    <xf borderId="105" fillId="0" fontId="2" numFmtId="0" xfId="0" applyBorder="1" applyFont="1"/>
    <xf borderId="106" fillId="2" fontId="1" numFmtId="0" xfId="0" applyBorder="1" applyFont="1"/>
    <xf borderId="107" fillId="0" fontId="2" numFmtId="0" xfId="0" applyBorder="1" applyFont="1"/>
    <xf borderId="108" fillId="0" fontId="2" numFmtId="0" xfId="0" applyBorder="1" applyFont="1"/>
    <xf borderId="109" fillId="0" fontId="2" numFmtId="0" xfId="0" applyBorder="1" applyFont="1"/>
    <xf borderId="110" fillId="3" fontId="1" numFmtId="0" xfId="0" applyAlignment="1" applyBorder="1" applyFont="1">
      <alignment vertical="bottom"/>
    </xf>
    <xf borderId="111" fillId="0" fontId="2" numFmtId="0" xfId="0" applyBorder="1" applyFont="1"/>
    <xf borderId="110" fillId="0" fontId="3" numFmtId="0" xfId="0" applyAlignment="1" applyBorder="1" applyFont="1">
      <alignment vertical="bottom"/>
    </xf>
    <xf borderId="110" fillId="0" fontId="4" numFmtId="0" xfId="0" applyAlignment="1" applyBorder="1" applyFont="1">
      <alignment vertical="bottom"/>
    </xf>
    <xf borderId="110" fillId="0" fontId="6" numFmtId="0" xfId="0" applyAlignment="1" applyBorder="1" applyFont="1">
      <alignment horizontal="center" vertical="bottom"/>
    </xf>
    <xf borderId="112" fillId="0" fontId="2" numFmtId="0" xfId="0" applyBorder="1" applyFont="1"/>
    <xf borderId="113" fillId="0" fontId="2" numFmtId="0" xfId="0" applyBorder="1" applyFont="1"/>
    <xf borderId="23" fillId="0" fontId="3" numFmtId="0" xfId="0" applyAlignment="1" applyBorder="1" applyFont="1">
      <alignment horizontal="center"/>
    </xf>
    <xf borderId="30" fillId="0" fontId="7" numFmtId="0" xfId="0" applyAlignment="1" applyBorder="1" applyFont="1">
      <alignment horizontal="left"/>
    </xf>
    <xf borderId="48" fillId="0" fontId="7" numFmtId="0" xfId="0" applyAlignment="1" applyBorder="1" applyFont="1">
      <alignment horizontal="left" vertical="center"/>
    </xf>
    <xf borderId="114" fillId="0" fontId="3" numFmtId="0" xfId="0" applyBorder="1" applyFont="1"/>
    <xf borderId="102" fillId="0" fontId="3" numFmtId="0" xfId="0" applyBorder="1" applyFont="1"/>
    <xf borderId="115" fillId="0" fontId="3" numFmtId="0" xfId="0" applyBorder="1" applyFont="1"/>
    <xf borderId="116" fillId="0" fontId="2" numFmtId="0" xfId="0" applyBorder="1" applyFont="1"/>
    <xf borderId="117" fillId="0" fontId="2" numFmtId="0" xfId="0" applyBorder="1" applyFont="1"/>
    <xf borderId="118" fillId="0" fontId="3" numFmtId="0" xfId="0" applyBorder="1" applyFont="1"/>
    <xf borderId="119" fillId="0" fontId="3" numFmtId="0" xfId="0" applyBorder="1" applyFont="1"/>
    <xf borderId="120" fillId="0" fontId="3" numFmtId="0" xfId="0" applyBorder="1" applyFont="1"/>
    <xf borderId="119" fillId="0" fontId="2" numFmtId="0" xfId="0" applyBorder="1" applyFont="1"/>
    <xf borderId="121" fillId="0" fontId="2" numFmtId="0" xfId="0" applyBorder="1" applyFont="1"/>
    <xf borderId="122" fillId="0" fontId="2" numFmtId="0" xfId="0" applyBorder="1" applyFont="1"/>
    <xf borderId="123" fillId="0" fontId="3" numFmtId="0" xfId="0" applyBorder="1" applyFont="1"/>
    <xf borderId="124" fillId="0" fontId="3" numFmtId="0" xfId="0" applyBorder="1" applyFont="1"/>
    <xf borderId="125" fillId="0" fontId="3" numFmtId="0" xfId="0" applyBorder="1" applyFont="1"/>
    <xf borderId="124" fillId="0" fontId="2" numFmtId="0" xfId="0" applyBorder="1" applyFont="1"/>
    <xf borderId="126" fillId="0" fontId="2" numFmtId="0" xfId="0" applyBorder="1" applyFont="1"/>
    <xf borderId="127" fillId="0" fontId="3" numFmtId="0" xfId="0" applyBorder="1" applyFont="1"/>
    <xf borderId="128" fillId="0" fontId="3" numFmtId="0" xfId="0" applyBorder="1" applyFont="1"/>
    <xf borderId="129" fillId="0" fontId="3" numFmtId="0" xfId="0" applyBorder="1" applyFont="1"/>
    <xf borderId="130" fillId="0" fontId="2" numFmtId="0" xfId="0" applyBorder="1" applyFont="1"/>
    <xf borderId="131" fillId="0" fontId="2" numFmtId="0" xfId="0" applyBorder="1" applyFont="1"/>
    <xf borderId="132" fillId="0" fontId="2" numFmtId="0" xfId="0" applyBorder="1" applyFont="1"/>
    <xf borderId="133" fillId="0" fontId="3" numFmtId="0" xfId="0" applyBorder="1" applyFont="1"/>
    <xf borderId="134" fillId="0" fontId="2" numFmtId="0" xfId="0" applyBorder="1" applyFont="1"/>
    <xf borderId="135" fillId="0" fontId="2" numFmtId="0" xfId="0" applyBorder="1" applyFont="1"/>
    <xf borderId="136" fillId="0" fontId="3" numFmtId="0" xfId="0" applyBorder="1" applyFont="1"/>
    <xf borderId="137" fillId="0" fontId="2" numFmtId="0" xfId="0" applyBorder="1" applyFont="1"/>
    <xf borderId="138" fillId="0" fontId="3" numFmtId="0" xfId="0" applyBorder="1" applyFont="1"/>
    <xf borderId="139" fillId="0" fontId="2" numFmtId="0" xfId="0" applyBorder="1" applyFont="1"/>
    <xf borderId="140" fillId="0" fontId="3" numFmtId="0" xfId="0" applyBorder="1" applyFont="1"/>
    <xf borderId="141" fillId="0" fontId="3" numFmtId="0" xfId="0" applyBorder="1" applyFont="1"/>
    <xf borderId="142" fillId="0" fontId="2" numFmtId="0" xfId="0" applyBorder="1" applyFont="1"/>
    <xf borderId="143" fillId="0" fontId="3" numFmtId="0" xfId="0" applyBorder="1" applyFont="1"/>
    <xf borderId="49" fillId="0" fontId="7" numFmtId="0" xfId="0" applyAlignment="1" applyBorder="1" applyFont="1">
      <alignment horizontal="left" vertical="center"/>
    </xf>
    <xf borderId="55" fillId="0" fontId="21" numFmtId="0" xfId="0" applyBorder="1" applyFont="1"/>
    <xf borderId="30" fillId="0" fontId="21" numFmtId="0" xfId="0" applyBorder="1" applyFont="1"/>
    <xf borderId="31" fillId="0" fontId="7" numFmtId="0" xfId="0" applyBorder="1" applyFont="1"/>
    <xf borderId="144" fillId="0" fontId="3" numFmtId="0" xfId="0" applyBorder="1" applyFont="1"/>
    <xf borderId="145" fillId="0" fontId="3" numFmtId="0" xfId="0" applyBorder="1" applyFont="1"/>
    <xf borderId="146" fillId="0" fontId="2" numFmtId="0" xfId="0" applyBorder="1" applyFont="1"/>
    <xf borderId="147" fillId="0" fontId="7" numFmtId="0" xfId="0" applyAlignment="1" applyBorder="1" applyFont="1">
      <alignment horizontal="center" vertical="center"/>
    </xf>
    <xf borderId="148" fillId="0" fontId="2" numFmtId="0" xfId="0" applyBorder="1" applyFont="1"/>
    <xf borderId="149" fillId="0" fontId="2" numFmtId="0" xfId="0" applyBorder="1" applyFont="1"/>
    <xf borderId="0" fillId="0" fontId="3" numFmtId="0" xfId="0" applyAlignment="1" applyFont="1">
      <alignment horizontal="left" vertical="center"/>
    </xf>
    <xf borderId="48" fillId="0" fontId="7" numFmtId="0" xfId="0" applyBorder="1" applyFont="1"/>
    <xf borderId="147" fillId="0" fontId="7" numFmtId="0" xfId="0" applyAlignment="1" applyBorder="1" applyFont="1">
      <alignment horizontal="left" vertical="center"/>
    </xf>
    <xf borderId="23" fillId="0" fontId="7" numFmtId="0" xfId="0" applyAlignment="1" applyBorder="1" applyFont="1">
      <alignment horizontal="left" vertical="center"/>
    </xf>
    <xf borderId="31" fillId="0" fontId="21" numFmtId="0" xfId="0" applyBorder="1" applyFont="1"/>
    <xf borderId="150" fillId="0" fontId="3" numFmtId="0" xfId="0" applyBorder="1" applyFont="1"/>
    <xf borderId="134" fillId="0" fontId="3" numFmtId="0" xfId="0" applyBorder="1" applyFont="1"/>
    <xf borderId="151" fillId="0" fontId="3" numFmtId="0" xfId="0" applyBorder="1" applyFont="1"/>
    <xf borderId="152" fillId="0" fontId="3" numFmtId="0" xfId="0" applyBorder="1" applyFont="1"/>
    <xf borderId="130" fillId="0" fontId="3" numFmtId="0" xfId="0" applyBorder="1" applyFont="1"/>
    <xf borderId="153" fillId="0" fontId="2" numFmtId="0" xfId="0" applyBorder="1" applyFont="1"/>
    <xf borderId="49" fillId="0" fontId="7" numFmtId="0" xfId="0" applyAlignment="1" applyBorder="1" applyFont="1">
      <alignment horizontal="left" shrinkToFit="0" vertical="center" wrapText="1"/>
    </xf>
    <xf borderId="21" fillId="0" fontId="3" numFmtId="0" xfId="0" applyAlignment="1" applyBorder="1" applyFont="1">
      <alignment horizontal="left" vertical="center"/>
    </xf>
    <xf borderId="21" fillId="0" fontId="7" numFmtId="0" xfId="0" applyAlignment="1" applyBorder="1" applyFont="1">
      <alignment horizontal="left" shrinkToFit="0" vertical="center" wrapText="1"/>
    </xf>
    <xf borderId="19" fillId="0" fontId="7" numFmtId="0" xfId="0" applyAlignment="1" applyBorder="1" applyFont="1">
      <alignment horizontal="left" shrinkToFit="0" vertical="center" wrapText="1"/>
    </xf>
    <xf borderId="17" fillId="0" fontId="3" numFmtId="0" xfId="0" applyAlignment="1" applyBorder="1" applyFont="1">
      <alignment horizontal="left" vertical="center"/>
    </xf>
    <xf borderId="48" fillId="0" fontId="3" numFmtId="0" xfId="0" applyAlignment="1" applyBorder="1" applyFont="1">
      <alignment horizontal="center"/>
    </xf>
    <xf borderId="49" fillId="0" fontId="3" numFmtId="0" xfId="0" applyBorder="1" applyFont="1"/>
    <xf borderId="51" fillId="0" fontId="3" numFmtId="0" xfId="0" applyBorder="1" applyFont="1"/>
    <xf borderId="5" fillId="0" fontId="3" numFmtId="0" xfId="0" applyBorder="1" applyFont="1"/>
    <xf borderId="31" fillId="0" fontId="3" numFmtId="0" xfId="0" applyAlignment="1" applyBorder="1" applyFont="1">
      <alignment horizontal="center"/>
    </xf>
    <xf borderId="148" fillId="0" fontId="7" numFmtId="0" xfId="0" applyAlignment="1" applyBorder="1" applyFont="1">
      <alignment horizontal="left" vertical="center"/>
    </xf>
    <xf borderId="101" fillId="0" fontId="3" numFmtId="0" xfId="0" applyBorder="1" applyFont="1"/>
    <xf borderId="154" fillId="0" fontId="7" numFmtId="0" xfId="0" applyAlignment="1" applyBorder="1" applyFont="1">
      <alignment horizontal="left" shrinkToFit="0" vertical="center" wrapText="1"/>
    </xf>
    <xf borderId="63" fillId="0" fontId="3" numFmtId="0" xfId="0" applyAlignment="1" applyBorder="1" applyFont="1">
      <alignment horizontal="left" vertical="center"/>
    </xf>
    <xf borderId="90" fillId="0" fontId="7" numFmtId="0" xfId="0" applyAlignment="1" applyBorder="1" applyFont="1">
      <alignment horizontal="left" vertical="center"/>
    </xf>
    <xf borderId="90" fillId="0" fontId="3" numFmtId="0" xfId="0" applyAlignment="1" applyBorder="1" applyFont="1">
      <alignment horizontal="left" vertical="center"/>
    </xf>
    <xf borderId="155" fillId="0" fontId="7" numFmtId="0" xfId="0" applyAlignment="1" applyBorder="1" applyFont="1">
      <alignment horizontal="left" shrinkToFit="0" vertical="center" wrapText="1"/>
    </xf>
    <xf borderId="156" fillId="0" fontId="2" numFmtId="0" xfId="0" applyBorder="1" applyFont="1"/>
    <xf borderId="157" fillId="0" fontId="7" numFmtId="0" xfId="0" applyAlignment="1" applyBorder="1" applyFont="1">
      <alignment horizontal="left" shrinkToFit="0" vertical="center" wrapText="1"/>
    </xf>
    <xf borderId="158" fillId="0" fontId="7" numFmtId="0" xfId="0" applyAlignment="1" applyBorder="1" applyFont="1">
      <alignment horizontal="left" shrinkToFit="0" vertical="center" wrapText="1"/>
    </xf>
    <xf borderId="159" fillId="0" fontId="2" numFmtId="0" xfId="0" applyBorder="1" applyFont="1"/>
    <xf borderId="160" fillId="0" fontId="2" numFmtId="0" xfId="0" applyBorder="1" applyFont="1"/>
    <xf borderId="161" fillId="0" fontId="7" numFmtId="0" xfId="0" applyAlignment="1" applyBorder="1" applyFont="1">
      <alignment horizontal="left" shrinkToFit="0" vertical="center" wrapText="1"/>
    </xf>
    <xf borderId="162" fillId="0" fontId="2" numFmtId="0" xfId="0" applyBorder="1" applyFont="1"/>
    <xf borderId="163" fillId="0" fontId="3" numFmtId="0" xfId="0" applyBorder="1" applyFont="1"/>
    <xf borderId="164" fillId="0" fontId="3" numFmtId="0" xfId="0" applyBorder="1" applyFont="1"/>
    <xf borderId="165" fillId="0" fontId="2" numFmtId="0" xfId="0" applyBorder="1" applyFont="1"/>
    <xf borderId="166" fillId="0" fontId="2" numFmtId="0" xfId="0" applyBorder="1" applyFont="1"/>
    <xf borderId="167" fillId="0" fontId="2" numFmtId="0" xfId="0" applyBorder="1" applyFont="1"/>
    <xf borderId="168" fillId="0" fontId="3" numFmtId="0" xfId="0" applyBorder="1" applyFont="1"/>
    <xf borderId="169" fillId="0" fontId="3" numFmtId="0" xfId="0" applyBorder="1" applyFont="1"/>
    <xf borderId="170" fillId="0" fontId="2" numFmtId="0" xfId="0" applyBorder="1" applyFont="1"/>
    <xf borderId="171" fillId="0" fontId="2" numFmtId="0" xfId="0" applyBorder="1" applyFont="1"/>
    <xf borderId="172" fillId="0" fontId="2" numFmtId="0" xfId="0" applyBorder="1" applyFont="1"/>
    <xf borderId="173" fillId="0" fontId="3" numFmtId="0" xfId="0" applyBorder="1" applyFont="1"/>
    <xf borderId="174" fillId="0" fontId="3" numFmtId="0" xfId="0" applyBorder="1" applyFont="1"/>
    <xf borderId="175" fillId="0" fontId="2" numFmtId="0" xfId="0" applyBorder="1" applyFont="1"/>
    <xf borderId="176" fillId="0" fontId="2" numFmtId="0" xfId="0" applyBorder="1" applyFont="1"/>
    <xf borderId="177" fillId="0" fontId="2" numFmtId="0" xfId="0" applyBorder="1" applyFont="1"/>
    <xf borderId="178" fillId="0" fontId="3" numFmtId="0" xfId="0" applyBorder="1" applyFont="1"/>
    <xf borderId="179" fillId="0" fontId="3" numFmtId="0" xfId="0" applyBorder="1" applyFont="1"/>
    <xf borderId="180" fillId="0" fontId="2" numFmtId="0" xfId="0" applyBorder="1" applyFont="1"/>
    <xf borderId="181" fillId="0" fontId="2" numFmtId="0" xfId="0" applyBorder="1" applyFont="1"/>
    <xf borderId="182" fillId="0" fontId="2" numFmtId="0" xfId="0" applyBorder="1" applyFont="1"/>
    <xf borderId="183" fillId="0" fontId="2" numFmtId="0" xfId="0" applyBorder="1" applyFont="1"/>
    <xf borderId="184" fillId="0" fontId="3" numFmtId="0" xfId="0" applyBorder="1" applyFont="1"/>
    <xf borderId="185" fillId="0" fontId="3" numFmtId="0" xfId="0" applyBorder="1" applyFont="1"/>
    <xf borderId="179" fillId="0" fontId="3" numFmtId="0" xfId="0" applyAlignment="1" applyBorder="1" applyFont="1">
      <alignment horizontal="center" shrinkToFit="0" vertical="center" wrapText="1"/>
    </xf>
    <xf borderId="186" fillId="0" fontId="3" numFmtId="0" xfId="0" applyAlignment="1" applyBorder="1" applyFont="1">
      <alignment horizontal="center" vertical="center"/>
    </xf>
    <xf borderId="187" fillId="0" fontId="2" numFmtId="0" xfId="0" applyBorder="1" applyFont="1"/>
    <xf borderId="188" fillId="0" fontId="2" numFmtId="0" xfId="0" applyBorder="1" applyFont="1"/>
    <xf borderId="189" fillId="0" fontId="2" numFmtId="0" xfId="0" applyBorder="1" applyFont="1"/>
    <xf borderId="190" fillId="0" fontId="2" numFmtId="0" xfId="0" applyBorder="1" applyFont="1"/>
    <xf borderId="191" fillId="0" fontId="7" numFmtId="0" xfId="0" applyAlignment="1" applyBorder="1" applyFont="1">
      <alignment horizontal="left" vertical="center"/>
    </xf>
    <xf borderId="30" fillId="0" fontId="7" numFmtId="0" xfId="0" applyAlignment="1" applyBorder="1" applyFont="1">
      <alignment horizontal="left" vertical="center"/>
    </xf>
    <xf borderId="186" fillId="0" fontId="3" numFmtId="0" xfId="0" applyBorder="1" applyFont="1"/>
    <xf borderId="192" fillId="0" fontId="3" numFmtId="0" xfId="0" applyBorder="1" applyFont="1"/>
    <xf borderId="193" fillId="0" fontId="2" numFmtId="0" xfId="0" applyBorder="1" applyFont="1"/>
    <xf borderId="194" fillId="0" fontId="3" numFmtId="0" xfId="0" applyBorder="1" applyFont="1"/>
    <xf borderId="195" fillId="0" fontId="2" numFmtId="0" xfId="0" applyBorder="1" applyFont="1"/>
    <xf borderId="196" fillId="0" fontId="3" numFmtId="0" xfId="0" applyBorder="1" applyFont="1"/>
    <xf borderId="197" fillId="0" fontId="2" numFmtId="0" xfId="0" applyBorder="1" applyFont="1"/>
    <xf borderId="198" fillId="0" fontId="3" numFmtId="0" xfId="0" applyBorder="1" applyFont="1"/>
    <xf borderId="199" fillId="0" fontId="3" numFmtId="0" xfId="0" applyBorder="1" applyFont="1"/>
    <xf borderId="200" fillId="0" fontId="2" numFmtId="0" xfId="0" applyBorder="1" applyFont="1"/>
    <xf borderId="187" fillId="0" fontId="3" numFmtId="0" xfId="0" applyBorder="1" applyFont="1"/>
    <xf borderId="180" fillId="0" fontId="3" numFmtId="0" xfId="0" applyBorder="1" applyFont="1"/>
    <xf borderId="201" fillId="0" fontId="3" numFmtId="0" xfId="0" applyBorder="1" applyFont="1"/>
    <xf borderId="202" fillId="0" fontId="2" numFmtId="0" xfId="0" applyBorder="1" applyFont="1"/>
    <xf borderId="175" fillId="0" fontId="3" numFmtId="0" xfId="0" applyBorder="1" applyFont="1"/>
    <xf borderId="203" fillId="0" fontId="3" numFmtId="0" xfId="0" applyBorder="1" applyFont="1"/>
    <xf borderId="204" fillId="0" fontId="2" numFmtId="0" xfId="0" applyBorder="1" applyFont="1"/>
    <xf borderId="170" fillId="0" fontId="3" numFmtId="0" xfId="0" applyBorder="1" applyFont="1"/>
    <xf borderId="205" fillId="0" fontId="3" numFmtId="0" xfId="0" applyBorder="1" applyFont="1"/>
    <xf borderId="206" fillId="0" fontId="2" numFmtId="0" xfId="0" applyBorder="1" applyFont="1"/>
    <xf borderId="207" fillId="0" fontId="2" numFmtId="0" xfId="0" applyBorder="1" applyFont="1"/>
    <xf borderId="208" fillId="0" fontId="3" numFmtId="0" xfId="0" applyBorder="1" applyFont="1"/>
    <xf borderId="209" fillId="0" fontId="2" numFmtId="0" xfId="0" applyBorder="1" applyFont="1"/>
    <xf borderId="210" fillId="0" fontId="2" numFmtId="0" xfId="0" applyBorder="1" applyFont="1"/>
    <xf borderId="85" fillId="0" fontId="7" numFmtId="0" xfId="0" applyAlignment="1" applyBorder="1" applyFont="1">
      <alignment horizontal="left" vertical="center"/>
    </xf>
    <xf borderId="64" fillId="0" fontId="3" numFmtId="0" xfId="0" applyAlignment="1" applyBorder="1" applyFont="1">
      <alignment horizontal="left" vertical="center"/>
    </xf>
    <xf borderId="96" fillId="0" fontId="22" numFmtId="0" xfId="0" applyAlignment="1" applyBorder="1" applyFont="1">
      <alignment vertical="bottom"/>
    </xf>
    <xf borderId="55" fillId="0" fontId="7" numFmtId="0" xfId="0" applyAlignment="1" applyBorder="1" applyFont="1">
      <alignment horizontal="left"/>
    </xf>
    <xf borderId="163" fillId="0" fontId="3" numFmtId="0" xfId="0" applyAlignment="1" applyBorder="1" applyFont="1">
      <alignment horizontal="left"/>
    </xf>
    <xf borderId="164" fillId="0" fontId="3" numFmtId="0" xfId="0" applyAlignment="1" applyBorder="1" applyFont="1">
      <alignment horizontal="left"/>
    </xf>
    <xf borderId="168" fillId="0" fontId="3" numFmtId="0" xfId="0" applyAlignment="1" applyBorder="1" applyFont="1">
      <alignment horizontal="left"/>
    </xf>
    <xf borderId="169" fillId="0" fontId="3" numFmtId="0" xfId="0" applyAlignment="1" applyBorder="1" applyFont="1">
      <alignment horizontal="left"/>
    </xf>
    <xf borderId="179" fillId="0" fontId="3" numFmtId="0" xfId="0" applyAlignment="1" applyBorder="1" applyFont="1">
      <alignment horizontal="left"/>
    </xf>
    <xf borderId="178" fillId="0" fontId="3" numFmtId="0" xfId="0" applyAlignment="1" applyBorder="1" applyFont="1">
      <alignment horizontal="left"/>
    </xf>
    <xf borderId="179" fillId="0" fontId="3" numFmtId="0" xfId="0" applyAlignment="1" applyBorder="1" applyFont="1">
      <alignment horizontal="right"/>
    </xf>
    <xf borderId="211" fillId="0" fontId="3" numFmtId="0" xfId="0" applyAlignment="1" applyBorder="1" applyFont="1">
      <alignment horizontal="left"/>
    </xf>
    <xf borderId="205" fillId="0" fontId="3" numFmtId="0" xfId="0" applyAlignment="1" applyBorder="1" applyFont="1">
      <alignment horizontal="left"/>
    </xf>
    <xf borderId="212" fillId="0" fontId="2" numFmtId="0" xfId="0" applyBorder="1" applyFont="1"/>
    <xf borderId="169" fillId="0" fontId="7" numFmtId="0" xfId="0" applyAlignment="1" applyBorder="1" applyFont="1">
      <alignment horizontal="left"/>
    </xf>
    <xf borderId="179" fillId="0" fontId="7" numFmtId="0" xfId="0" applyAlignment="1" applyBorder="1" applyFont="1">
      <alignment horizontal="left"/>
    </xf>
    <xf borderId="186" fillId="0" fontId="3" numFmtId="0" xfId="0" applyAlignment="1" applyBorder="1" applyFont="1">
      <alignment horizontal="right"/>
    </xf>
    <xf borderId="30" fillId="0" fontId="3" numFmtId="0" xfId="0" applyAlignment="1" applyBorder="1" applyFont="1">
      <alignment horizontal="center" vertical="bottom"/>
    </xf>
    <xf borderId="55" fillId="0" fontId="7" numFmtId="0" xfId="0" applyAlignment="1" applyBorder="1" applyFont="1">
      <alignment vertical="bottom"/>
    </xf>
    <xf borderId="30" fillId="0" fontId="7" numFmtId="0" xfId="0" applyAlignment="1" applyBorder="1" applyFont="1">
      <alignment vertical="bottom"/>
    </xf>
    <xf borderId="211" fillId="0" fontId="3" numFmtId="0" xfId="0" applyAlignment="1" applyBorder="1" applyFont="1">
      <alignment vertical="bottom"/>
    </xf>
    <xf borderId="205" fillId="0" fontId="3" numFmtId="0" xfId="0" applyAlignment="1" applyBorder="1" applyFont="1">
      <alignment vertical="bottom"/>
    </xf>
    <xf borderId="169" fillId="0" fontId="3" numFmtId="0" xfId="0" applyAlignment="1" applyBorder="1" applyFont="1">
      <alignment vertical="bottom"/>
    </xf>
    <xf borderId="211" fillId="0" fontId="4" numFmtId="0" xfId="0" applyAlignment="1" applyBorder="1" applyFont="1">
      <alignment vertical="bottom"/>
    </xf>
    <xf borderId="169" fillId="0" fontId="4" numFmtId="0" xfId="0" applyAlignment="1" applyBorder="1" applyFont="1">
      <alignment vertical="bottom"/>
    </xf>
    <xf borderId="179" fillId="0" fontId="4" numFmtId="0" xfId="0" applyAlignment="1" applyBorder="1" applyFont="1">
      <alignment vertical="bottom"/>
    </xf>
    <xf borderId="186" fillId="0" fontId="4" numFmtId="0" xfId="0" applyAlignment="1" applyBorder="1" applyFont="1">
      <alignment horizontal="right" vertical="bottom"/>
    </xf>
    <xf borderId="30" fillId="0" fontId="4" numFmtId="0" xfId="0" applyAlignment="1" applyBorder="1" applyFont="1">
      <alignment horizontal="center" vertical="bottom"/>
    </xf>
    <xf borderId="55" fillId="0" fontId="3" numFmtId="0" xfId="0" applyAlignment="1" applyBorder="1" applyFont="1">
      <alignment vertical="bottom"/>
    </xf>
    <xf borderId="30" fillId="0" fontId="3" numFmtId="0" xfId="0" applyAlignment="1" applyBorder="1" applyFont="1">
      <alignment vertical="bottom"/>
    </xf>
    <xf borderId="163" fillId="0" fontId="4" numFmtId="0" xfId="0" applyAlignment="1" applyBorder="1" applyFont="1">
      <alignment vertical="bottom"/>
    </xf>
    <xf borderId="213" fillId="0" fontId="4" numFmtId="0" xfId="0" applyAlignment="1" applyBorder="1" applyFont="1">
      <alignment vertical="bottom"/>
    </xf>
    <xf borderId="214" fillId="0" fontId="2" numFmtId="0" xfId="0" applyBorder="1" applyFont="1"/>
    <xf borderId="168" fillId="0" fontId="4" numFmtId="0" xfId="0" applyAlignment="1" applyBorder="1" applyFont="1">
      <alignment vertical="bottom"/>
    </xf>
    <xf borderId="173" fillId="0" fontId="4" numFmtId="0" xfId="0" applyAlignment="1" applyBorder="1" applyFont="1">
      <alignment vertical="bottom"/>
    </xf>
    <xf borderId="174" fillId="0" fontId="4" numFmtId="0" xfId="0" applyAlignment="1" applyBorder="1" applyFont="1">
      <alignment vertical="bottom"/>
    </xf>
    <xf borderId="154" fillId="0" fontId="7" numFmtId="0" xfId="0" applyAlignment="1" applyBorder="1" applyFont="1">
      <alignment horizontal="right" vertical="center"/>
    </xf>
    <xf borderId="90" fillId="0" fontId="3" numFmtId="0" xfId="0" applyBorder="1" applyFont="1"/>
    <xf borderId="90" fillId="0" fontId="7" numFmtId="0" xfId="0" applyAlignment="1" applyBorder="1" applyFont="1">
      <alignment horizontal="left" shrinkToFit="0" vertical="center" wrapText="1"/>
    </xf>
    <xf borderId="158" fillId="0" fontId="7" numFmtId="0" xfId="0" applyAlignment="1" applyBorder="1" applyFont="1">
      <alignment horizontal="right" shrinkToFit="0" vertical="center" wrapText="1"/>
    </xf>
    <xf borderId="215" fillId="0" fontId="2" numFmtId="0" xfId="0" applyBorder="1" applyFont="1"/>
    <xf borderId="216" fillId="0" fontId="7" numFmtId="0" xfId="0" applyAlignment="1" applyBorder="1" applyFont="1">
      <alignment horizontal="left" shrinkToFit="0" vertical="center" wrapText="1"/>
    </xf>
    <xf borderId="96" fillId="0" fontId="3" numFmtId="0" xfId="0" applyAlignment="1" applyBorder="1" applyFont="1">
      <alignment readingOrder="0" vertical="bottom"/>
    </xf>
    <xf borderId="96" fillId="0" fontId="3" numFmtId="0" xfId="0" applyAlignment="1" applyBorder="1" applyFont="1">
      <alignment shrinkToFit="0" vertical="bottom" wrapText="1"/>
    </xf>
    <xf borderId="96" fillId="0" fontId="3" numFmtId="164" xfId="0" applyAlignment="1" applyBorder="1" applyFont="1" applyNumberFormat="1">
      <alignment horizontal="right" readingOrder="0" vertical="bottom"/>
    </xf>
    <xf borderId="9" fillId="0" fontId="3" numFmtId="0" xfId="0" applyAlignment="1" applyBorder="1" applyFont="1">
      <alignment readingOrder="0" vertical="bottom"/>
    </xf>
    <xf borderId="23" fillId="0" fontId="3" numFmtId="0" xfId="0" applyAlignment="1" applyBorder="1" applyFont="1">
      <alignment horizontal="center" readingOrder="0"/>
    </xf>
    <xf borderId="30" fillId="0" fontId="3" numFmtId="0" xfId="0" applyAlignment="1" applyBorder="1" applyFont="1">
      <alignment horizontal="left" readingOrder="0"/>
    </xf>
    <xf borderId="31" fillId="0" fontId="3" numFmtId="0" xfId="0" applyAlignment="1" applyBorder="1" applyFont="1">
      <alignment horizontal="left" readingOrder="0" shrinkToFit="0" wrapText="1"/>
    </xf>
    <xf borderId="5" fillId="0" fontId="3" numFmtId="0" xfId="0" applyAlignment="1" applyBorder="1" applyFont="1">
      <alignment readingOrder="0"/>
    </xf>
    <xf borderId="147" fillId="0" fontId="7" numFmtId="49" xfId="0" applyAlignment="1" applyBorder="1" applyFont="1" applyNumberFormat="1">
      <alignment horizontal="left" readingOrder="0" vertical="center"/>
    </xf>
    <xf borderId="148" fillId="0" fontId="3" numFmtId="0" xfId="0" applyAlignment="1" applyBorder="1" applyFont="1">
      <alignment horizontal="left" readingOrder="0" shrinkToFit="0" vertical="center" wrapText="1"/>
    </xf>
    <xf borderId="147" fillId="0" fontId="7" numFmtId="0" xfId="0" applyAlignment="1" applyBorder="1" applyFont="1">
      <alignment horizontal="left" readingOrder="0" vertical="center"/>
    </xf>
    <xf borderId="48" fillId="0" fontId="21" numFmtId="0" xfId="0" applyAlignment="1" applyBorder="1" applyFont="1">
      <alignment horizontal="center" vertical="center"/>
    </xf>
    <xf borderId="5" fillId="0" fontId="23" numFmtId="0" xfId="0" applyAlignment="1" applyBorder="1" applyFont="1">
      <alignment readingOrder="0" shrinkToFit="0" wrapText="1"/>
    </xf>
    <xf borderId="36" fillId="0" fontId="3" numFmtId="0" xfId="0" applyAlignment="1" applyBorder="1" applyFont="1">
      <alignment readingOrder="0"/>
    </xf>
    <xf borderId="41" fillId="0" fontId="3" numFmtId="0" xfId="0" applyBorder="1" applyFont="1"/>
    <xf borderId="46" fillId="0" fontId="3" numFmtId="0" xfId="0" applyBorder="1" applyFont="1"/>
    <xf borderId="154" fillId="0" fontId="3" numFmtId="0" xfId="0" applyAlignment="1" applyBorder="1" applyFont="1">
      <alignment readingOrder="0"/>
    </xf>
    <xf borderId="90" fillId="0" fontId="3" numFmtId="0" xfId="0" applyAlignment="1" applyBorder="1" applyFont="1">
      <alignment readingOrder="0"/>
    </xf>
    <xf borderId="90" fillId="0" fontId="3" numFmtId="0" xfId="0" applyAlignment="1" applyBorder="1" applyFont="1">
      <alignment readingOrder="0" shrinkToFit="0" wrapText="1"/>
    </xf>
    <xf borderId="155" fillId="0" fontId="3" numFmtId="0" xfId="0" applyAlignment="1" applyBorder="1" applyFont="1">
      <alignment readingOrder="0"/>
    </xf>
    <xf borderId="85" fillId="0" fontId="3" numFmtId="0" xfId="0" applyAlignment="1" applyBorder="1" applyFont="1">
      <alignment readingOrder="0"/>
    </xf>
    <xf borderId="81" fillId="0" fontId="3" numFmtId="0" xfId="0" applyAlignment="1" applyBorder="1" applyFont="1">
      <alignment readingOrder="0"/>
    </xf>
    <xf borderId="158" fillId="0" fontId="3" numFmtId="0" xfId="0" applyBorder="1" applyFont="1"/>
    <xf borderId="216" fillId="0" fontId="3" numFmtId="0" xfId="0" applyBorder="1" applyFont="1"/>
    <xf borderId="217" fillId="0" fontId="3" numFmtId="0" xfId="0" applyAlignment="1" applyBorder="1" applyFont="1">
      <alignment readingOrder="0"/>
    </xf>
    <xf borderId="218" fillId="0" fontId="2" numFmtId="0" xfId="0" applyBorder="1" applyFont="1"/>
    <xf borderId="217" fillId="0" fontId="3" numFmtId="0" xfId="0" applyBorder="1" applyFont="1"/>
    <xf borderId="219" fillId="0" fontId="3" numFmtId="0" xfId="0" applyAlignment="1" applyBorder="1" applyFont="1">
      <alignment readingOrder="0"/>
    </xf>
    <xf borderId="220" fillId="0" fontId="2" numFmtId="0" xfId="0" applyBorder="1" applyFont="1"/>
    <xf borderId="219" fillId="0" fontId="3" numFmtId="0" xfId="0" applyBorder="1" applyFont="1"/>
    <xf borderId="219" fillId="0" fontId="3" numFmtId="0" xfId="0" applyAlignment="1" applyBorder="1" applyFont="1">
      <alignment readingOrder="0" shrinkToFit="0" wrapText="1"/>
    </xf>
    <xf borderId="221" fillId="0" fontId="3" numFmtId="0" xfId="0" applyBorder="1" applyFont="1"/>
    <xf borderId="222" fillId="0" fontId="2" numFmtId="0" xfId="0" applyBorder="1" applyFont="1"/>
    <xf borderId="223" fillId="0" fontId="3" numFmtId="0" xfId="0" applyBorder="1" applyFont="1"/>
    <xf borderId="224" fillId="0" fontId="2" numFmtId="0" xfId="0" applyBorder="1" applyFont="1"/>
    <xf borderId="30" fillId="0" fontId="3" numFmtId="0" xfId="0" applyAlignment="1" applyBorder="1" applyFont="1">
      <alignment horizontal="right" readingOrder="0"/>
    </xf>
    <xf borderId="30" fillId="0" fontId="24" numFmtId="2" xfId="0" applyBorder="1" applyFont="1" applyNumberFormat="1"/>
    <xf borderId="225" fillId="0" fontId="2" numFmtId="0" xfId="0" applyBorder="1" applyFont="1"/>
    <xf borderId="226" fillId="0" fontId="4" numFmtId="0" xfId="0" applyAlignment="1" applyBorder="1" applyFont="1">
      <alignment readingOrder="0"/>
    </xf>
    <xf borderId="223" fillId="0" fontId="4" numFmtId="0" xfId="0" applyBorder="1" applyFont="1"/>
    <xf borderId="227" fillId="0" fontId="2" numFmtId="0" xfId="0" applyBorder="1" applyFont="1"/>
    <xf borderId="228" fillId="0" fontId="4" numFmtId="0" xfId="0" applyAlignment="1" applyBorder="1" applyFont="1">
      <alignment readingOrder="0"/>
    </xf>
    <xf borderId="229" fillId="0" fontId="2" numFmtId="0" xfId="0" applyBorder="1" applyFont="1"/>
    <xf borderId="230" fillId="0" fontId="2" numFmtId="0" xfId="0" applyBorder="1" applyFont="1"/>
    <xf borderId="231" fillId="0" fontId="7" numFmtId="0" xfId="0" applyAlignment="1" applyBorder="1" applyFont="1">
      <alignment horizontal="left" shrinkToFit="0" vertical="center" wrapText="1"/>
    </xf>
    <xf borderId="232" fillId="0" fontId="2" numFmtId="0" xfId="0" applyBorder="1" applyFont="1"/>
    <xf borderId="233" fillId="0" fontId="2" numFmtId="0" xfId="0" applyBorder="1" applyFont="1"/>
    <xf borderId="234" fillId="0" fontId="7" numFmtId="0" xfId="0" applyAlignment="1" applyBorder="1" applyFont="1">
      <alignment horizontal="left" shrinkToFit="0" vertical="center" wrapText="1"/>
    </xf>
    <xf borderId="235" fillId="0" fontId="7" numFmtId="0" xfId="0" applyAlignment="1" applyBorder="1" applyFont="1">
      <alignment horizontal="left" shrinkToFit="0" vertical="center" wrapText="1"/>
    </xf>
    <xf borderId="236" fillId="0" fontId="2" numFmtId="0" xfId="0" applyBorder="1" applyFont="1"/>
    <xf borderId="232" fillId="0" fontId="3" numFmtId="0" xfId="0" applyAlignment="1" applyBorder="1" applyFont="1">
      <alignment horizontal="left" readingOrder="0" shrinkToFit="0" vertical="center" wrapText="1"/>
    </xf>
    <xf borderId="237" fillId="0" fontId="2" numFmtId="0" xfId="0" applyBorder="1" applyFont="1"/>
    <xf borderId="238" fillId="0" fontId="2" numFmtId="0" xfId="0" applyBorder="1" applyFont="1"/>
    <xf borderId="239" fillId="0" fontId="2" numFmtId="0" xfId="0" applyBorder="1" applyFont="1"/>
    <xf borderId="240" fillId="2" fontId="1" numFmtId="0" xfId="0" applyAlignment="1" applyBorder="1" applyFont="1">
      <alignment vertical="bottom"/>
    </xf>
    <xf borderId="241" fillId="0" fontId="2" numFmtId="0" xfId="0" applyBorder="1" applyFont="1"/>
    <xf borderId="242" fillId="0" fontId="2" numFmtId="0" xfId="0" applyBorder="1" applyFont="1"/>
    <xf borderId="243" fillId="0" fontId="2" numFmtId="0" xfId="0" applyBorder="1" applyFont="1"/>
    <xf borderId="49" fillId="0" fontId="3" numFmtId="0" xfId="0" applyAlignment="1" applyBorder="1" applyFont="1">
      <alignment shrinkToFit="0" wrapText="1"/>
    </xf>
    <xf borderId="0" fillId="0" fontId="3" numFmtId="0" xfId="0" applyAlignment="1" applyFont="1">
      <alignment shrinkToFit="0" wrapText="1"/>
    </xf>
    <xf borderId="0" fillId="0" fontId="4" numFmtId="0" xfId="0" applyAlignment="1" applyFont="1">
      <alignment shrinkToFit="0" wrapText="1"/>
    </xf>
    <xf borderId="55" fillId="0" fontId="3" numFmtId="0" xfId="0" applyAlignment="1" applyBorder="1" applyFont="1">
      <alignment shrinkToFit="0" wrapText="1"/>
    </xf>
    <xf borderId="5" fillId="0" fontId="3" numFmtId="0" xfId="0" applyAlignment="1" applyBorder="1" applyFont="1">
      <alignment shrinkToFit="0" wrapText="1"/>
    </xf>
    <xf borderId="0" fillId="0" fontId="3" numFmtId="0" xfId="0" applyAlignment="1" applyFont="1">
      <alignment readingOrder="0" shrinkToFit="0" wrapText="1"/>
    </xf>
    <xf borderId="0" fillId="0" fontId="3" numFmtId="9" xfId="0" applyAlignment="1" applyFont="1" applyNumberFormat="1">
      <alignment shrinkToFit="0" wrapText="1"/>
    </xf>
    <xf borderId="51" fillId="0" fontId="3" numFmtId="0" xfId="0" applyAlignment="1" applyBorder="1" applyFont="1">
      <alignment shrinkToFit="0" wrapText="1"/>
    </xf>
    <xf borderId="51" fillId="0" fontId="3" numFmtId="9" xfId="0" applyAlignment="1" applyBorder="1" applyFont="1" applyNumberFormat="1">
      <alignment shrinkToFit="0" wrapText="1"/>
    </xf>
    <xf borderId="30" fillId="0" fontId="3" numFmtId="0" xfId="0" applyAlignment="1" applyBorder="1" applyFont="1">
      <alignment horizontal="right" shrinkToFit="0" wrapText="1"/>
    </xf>
    <xf borderId="30" fillId="0" fontId="7" numFmtId="0" xfId="0" applyAlignment="1" applyBorder="1" applyFont="1">
      <alignment shrinkToFit="0" wrapText="1"/>
    </xf>
    <xf borderId="55" fillId="0" fontId="4" numFmtId="0" xfId="0" applyAlignment="1" applyBorder="1" applyFont="1">
      <alignment shrinkToFit="0" wrapText="1"/>
    </xf>
    <xf borderId="48" fillId="0" fontId="4" numFmtId="0" xfId="0" applyAlignment="1" applyBorder="1" applyFont="1">
      <alignment shrinkToFit="0" wrapText="1"/>
    </xf>
    <xf borderId="49" fillId="0" fontId="4" numFmtId="0" xfId="0" applyAlignment="1" applyBorder="1" applyFont="1">
      <alignment shrinkToFit="0" wrapText="1"/>
    </xf>
    <xf borderId="49" fillId="0" fontId="4" numFmtId="0" xfId="0" applyBorder="1" applyFont="1"/>
    <xf borderId="23" fillId="0" fontId="4" numFmtId="0" xfId="0" applyBorder="1" applyFont="1"/>
    <xf borderId="244" fillId="0" fontId="4" numFmtId="0" xfId="0" applyAlignment="1" applyBorder="1" applyFont="1">
      <alignment horizontal="center"/>
    </xf>
    <xf borderId="147" fillId="0" fontId="3" numFmtId="0" xfId="0" applyAlignment="1" applyBorder="1" applyFont="1">
      <alignment horizontal="left" vertical="center"/>
    </xf>
    <xf borderId="30" fillId="0" fontId="4" numFmtId="0" xfId="0" applyAlignment="1" applyBorder="1" applyFont="1">
      <alignment horizontal="center"/>
    </xf>
    <xf borderId="30" fillId="0" fontId="4" numFmtId="0" xfId="0" applyBorder="1" applyFont="1"/>
    <xf borderId="245" fillId="0" fontId="4" numFmtId="0" xfId="0" applyBorder="1" applyFont="1"/>
    <xf borderId="246" fillId="0" fontId="2" numFmtId="0" xfId="0" applyBorder="1" applyFont="1"/>
    <xf borderId="101" fillId="0" fontId="4" numFmtId="0" xfId="0" applyBorder="1" applyFont="1"/>
    <xf borderId="144" fillId="0" fontId="4" numFmtId="0" xfId="0" applyBorder="1" applyFont="1"/>
    <xf borderId="247" fillId="0" fontId="2" numFmtId="0" xfId="0" applyBorder="1" applyFont="1"/>
    <xf borderId="145" fillId="0" fontId="4" numFmtId="0" xfId="0" applyBorder="1" applyFont="1"/>
    <xf borderId="55" fillId="0" fontId="4" numFmtId="0" xfId="0" applyBorder="1" applyFont="1"/>
    <xf borderId="62" fillId="0" fontId="4" numFmtId="0" xfId="0" applyBorder="1" applyFont="1"/>
    <xf borderId="10" fillId="0" fontId="4" numFmtId="0" xfId="0" applyBorder="1" applyFont="1"/>
    <xf borderId="59" fillId="0" fontId="4" numFmtId="0" xfId="0" applyBorder="1" applyFont="1"/>
    <xf borderId="9" fillId="0" fontId="4" numFmtId="0" xfId="0" applyBorder="1" applyFont="1"/>
    <xf borderId="60" fillId="0" fontId="4" numFmtId="0" xfId="0" applyBorder="1" applyFont="1"/>
    <xf borderId="26" fillId="0" fontId="4" numFmtId="0" xfId="0" applyBorder="1" applyFont="1"/>
    <xf borderId="73" fillId="0" fontId="4" numFmtId="0" xfId="0" applyBorder="1" applyFont="1"/>
    <xf borderId="7" fillId="0" fontId="4" numFmtId="0" xfId="0" applyBorder="1" applyFont="1"/>
    <xf borderId="93" fillId="0" fontId="4" numFmtId="0" xfId="0" applyBorder="1" applyFont="1"/>
    <xf borderId="73" fillId="0" fontId="11" numFmtId="0" xfId="0" applyBorder="1" applyFont="1"/>
    <xf borderId="10" fillId="0" fontId="11" numFmtId="0" xfId="0" applyBorder="1" applyFont="1"/>
    <xf borderId="93" fillId="0" fontId="11" numFmtId="0" xfId="0" applyBorder="1" applyFont="1"/>
    <xf borderId="26" fillId="0" fontId="11" numFmtId="0" xfId="0" applyBorder="1" applyFont="1"/>
    <xf borderId="0" fillId="0" fontId="4" numFmtId="0" xfId="0" applyFont="1"/>
    <xf borderId="0" fillId="0" fontId="4" numFmtId="0" xfId="0" applyAlignment="1" applyFont="1">
      <alignment horizontal="left"/>
    </xf>
    <xf borderId="0" fillId="0" fontId="4" numFmtId="0" xfId="0" applyAlignment="1" applyFont="1">
      <alignment vertical="bottom"/>
    </xf>
    <xf borderId="0" fillId="0" fontId="25" numFmtId="0" xfId="0" applyAlignment="1" applyFont="1">
      <alignment horizontal="center" vertical="top"/>
    </xf>
    <xf borderId="0" fillId="0" fontId="26" numFmtId="0" xfId="0" applyAlignment="1" applyFont="1">
      <alignment vertical="bottom"/>
    </xf>
    <xf borderId="13" fillId="0" fontId="27" numFmtId="0" xfId="0" applyAlignment="1" applyBorder="1" applyFont="1">
      <alignment vertical="bottom"/>
    </xf>
    <xf borderId="13" fillId="0" fontId="4" numFmtId="0" xfId="0" applyAlignment="1" applyBorder="1" applyFont="1">
      <alignment vertical="bottom"/>
    </xf>
    <xf borderId="0" fillId="0" fontId="28" numFmtId="0" xfId="0" applyFont="1"/>
    <xf borderId="0" fillId="0" fontId="28" numFmtId="0" xfId="0" applyAlignment="1" applyFont="1">
      <alignment readingOrder="0" shrinkToFit="0" wrapText="1"/>
    </xf>
    <xf borderId="0" fillId="0" fontId="28" numFmtId="0" xfId="0" applyAlignment="1" applyFont="1">
      <alignment vertical="bottom"/>
    </xf>
    <xf borderId="0" fillId="0" fontId="28" numFmtId="0" xfId="0" applyAlignment="1" applyFont="1">
      <alignment shrinkToFit="0" wrapText="1"/>
    </xf>
    <xf borderId="0" fillId="0" fontId="28" numFmtId="166" xfId="0" applyAlignment="1" applyFont="1" applyNumberFormat="1">
      <alignment horizontal="left" readingOrder="0" shrinkToFit="0" wrapText="1"/>
    </xf>
    <xf borderId="36" fillId="0" fontId="4" numFmtId="0" xfId="0" applyAlignment="1" applyBorder="1" applyFont="1">
      <alignment vertical="bottom"/>
    </xf>
    <xf borderId="53" fillId="0" fontId="28" numFmtId="0" xfId="0" applyBorder="1" applyFont="1"/>
    <xf borderId="53" fillId="0" fontId="28" numFmtId="0" xfId="0" applyAlignment="1" applyBorder="1" applyFont="1">
      <alignment readingOrder="0" shrinkToFit="0" wrapText="1"/>
    </xf>
    <xf borderId="0" fillId="0" fontId="28" numFmtId="0" xfId="0" applyAlignment="1" applyFont="1">
      <alignment readingOrder="0" vertical="bottom"/>
    </xf>
    <xf borderId="0" fillId="0" fontId="28" numFmtId="0" xfId="0" applyAlignment="1" applyFont="1">
      <alignment vertical="center"/>
    </xf>
    <xf borderId="248" fillId="0" fontId="4" numFmtId="0" xfId="0" applyAlignment="1" applyBorder="1" applyFont="1">
      <alignment vertical="bottom"/>
    </xf>
    <xf borderId="102" fillId="0" fontId="29" numFmtId="0" xfId="0" applyAlignment="1" applyBorder="1" applyFont="1">
      <alignment vertical="bottom"/>
    </xf>
    <xf borderId="102" fillId="0" fontId="4" numFmtId="0" xfId="0" applyAlignment="1" applyBorder="1" applyFont="1">
      <alignment vertical="bottom"/>
    </xf>
    <xf borderId="0" fillId="0" fontId="28" numFmtId="0" xfId="0" applyAlignment="1" applyFont="1">
      <alignment readingOrder="0" shrinkToFit="0" vertical="bottom" wrapText="1"/>
    </xf>
    <xf borderId="0" fillId="4" fontId="30" numFmtId="0" xfId="0" applyAlignment="1" applyFont="1">
      <alignment readingOrder="0" shrinkToFit="0" vertical="top" wrapText="1"/>
    </xf>
    <xf borderId="249" fillId="0" fontId="31" numFmtId="0" xfId="0" applyAlignment="1" applyBorder="1" applyFont="1">
      <alignment vertical="bottom"/>
    </xf>
    <xf borderId="250" fillId="0" fontId="2" numFmtId="0" xfId="0" applyBorder="1" applyFont="1"/>
    <xf borderId="251" fillId="0" fontId="2" numFmtId="0" xfId="0" applyBorder="1" applyFont="1"/>
    <xf borderId="0" fillId="0" fontId="28" numFmtId="49" xfId="0" applyAlignment="1" applyFont="1" applyNumberFormat="1">
      <alignment readingOrder="0" shrinkToFit="0" vertical="bottom" wrapText="1"/>
    </xf>
    <xf borderId="11" fillId="0" fontId="28" numFmtId="0" xfId="0" applyAlignment="1" applyBorder="1" applyFont="1">
      <alignment vertical="bottom"/>
    </xf>
    <xf borderId="11" fillId="0" fontId="4" numFmtId="0" xfId="0" applyAlignment="1" applyBorder="1" applyFont="1">
      <alignment vertical="bottom"/>
    </xf>
    <xf borderId="252" fillId="0" fontId="29" numFmtId="0" xfId="0" applyAlignment="1" applyBorder="1" applyFont="1">
      <alignment vertical="bottom"/>
    </xf>
    <xf borderId="252" fillId="0" fontId="4" numFmtId="0" xfId="0" applyAlignment="1" applyBorder="1" applyFont="1">
      <alignment vertical="bottom"/>
    </xf>
    <xf borderId="253" fillId="5" fontId="29" numFmtId="0" xfId="0" applyAlignment="1" applyBorder="1" applyFill="1" applyFont="1">
      <alignment horizontal="center" vertical="bottom"/>
    </xf>
    <xf borderId="17" fillId="5" fontId="29" numFmtId="0" xfId="0" applyAlignment="1" applyBorder="1" applyFont="1">
      <alignment horizontal="center" vertical="bottom"/>
    </xf>
    <xf borderId="254" fillId="5" fontId="29" numFmtId="0" xfId="0" applyAlignment="1" applyBorder="1" applyFont="1">
      <alignment horizontal="center" vertical="bottom"/>
    </xf>
    <xf borderId="255" fillId="0" fontId="28" numFmtId="0" xfId="0" applyAlignment="1" applyBorder="1" applyFont="1">
      <alignment horizontal="center" vertical="bottom"/>
    </xf>
    <xf borderId="77" fillId="0" fontId="28" numFmtId="0" xfId="0" applyAlignment="1" applyBorder="1" applyFont="1">
      <alignment vertical="bottom"/>
    </xf>
    <xf borderId="256" fillId="0" fontId="28" numFmtId="3" xfId="0" applyAlignment="1" applyBorder="1" applyFont="1" applyNumberFormat="1">
      <alignment horizontal="right" vertical="bottom"/>
    </xf>
    <xf borderId="257" fillId="0" fontId="28" numFmtId="0" xfId="0" applyAlignment="1" applyBorder="1" applyFont="1">
      <alignment horizontal="center" vertical="bottom"/>
    </xf>
    <xf borderId="258" fillId="0" fontId="28" numFmtId="0" xfId="0" applyAlignment="1" applyBorder="1" applyFont="1">
      <alignment horizontal="right" vertical="bottom"/>
    </xf>
    <xf borderId="257" fillId="0" fontId="4" numFmtId="0" xfId="0" applyAlignment="1" applyBorder="1" applyFont="1">
      <alignment vertical="bottom"/>
    </xf>
    <xf borderId="258" fillId="0" fontId="4" numFmtId="0" xfId="0" applyAlignment="1" applyBorder="1" applyFont="1">
      <alignment vertical="bottom"/>
    </xf>
    <xf borderId="35" fillId="0" fontId="4" numFmtId="0" xfId="0" applyAlignment="1" applyBorder="1" applyFont="1">
      <alignment vertical="bottom"/>
    </xf>
    <xf borderId="34" fillId="0" fontId="4" numFmtId="0" xfId="0" applyAlignment="1" applyBorder="1" applyFont="1">
      <alignment vertical="bottom"/>
    </xf>
    <xf borderId="10" fillId="2" fontId="29" numFmtId="0" xfId="0" applyAlignment="1" applyBorder="1" applyFont="1">
      <alignment vertical="bottom"/>
    </xf>
    <xf borderId="259" fillId="0" fontId="29" numFmtId="3" xfId="0" applyAlignment="1" applyBorder="1" applyFont="1" applyNumberFormat="1">
      <alignment horizontal="right" vertical="bottom"/>
    </xf>
    <xf borderId="9" fillId="2" fontId="29" numFmtId="0" xfId="0" applyAlignment="1" applyBorder="1" applyFont="1">
      <alignment vertical="bottom"/>
    </xf>
    <xf borderId="260" fillId="6" fontId="29" numFmtId="3" xfId="0" applyAlignment="1" applyBorder="1" applyFill="1" applyFont="1" applyNumberFormat="1">
      <alignment horizontal="right" vertical="bottom"/>
    </xf>
    <xf borderId="11" fillId="0" fontId="29" numFmtId="0" xfId="0" applyAlignment="1" applyBorder="1" applyFont="1">
      <alignment vertical="bottom"/>
    </xf>
    <xf borderId="0" fillId="0" fontId="28" numFmtId="3" xfId="0" applyAlignment="1" applyFont="1" applyNumberFormat="1">
      <alignment vertical="bottom"/>
    </xf>
    <xf borderId="0" fillId="0" fontId="32" numFmtId="0" xfId="0" applyAlignment="1" applyFont="1">
      <alignment vertical="bottom"/>
    </xf>
    <xf borderId="0" fillId="2" fontId="29" numFmtId="0" xfId="0" applyAlignment="1" applyFont="1">
      <alignment vertical="bottom"/>
    </xf>
    <xf borderId="0" fillId="0" fontId="32" numFmtId="0" xfId="0" applyAlignment="1" applyFont="1">
      <alignment horizontal="left" vertical="bottom"/>
    </xf>
    <xf borderId="0" fillId="0" fontId="31" numFmtId="0" xfId="0" applyAlignment="1" applyFont="1">
      <alignment vertical="bottom"/>
    </xf>
    <xf borderId="11" fillId="0" fontId="33" numFmtId="0" xfId="0" applyAlignment="1" applyBorder="1" applyFont="1">
      <alignment vertical="bottom"/>
    </xf>
    <xf borderId="0" fillId="0" fontId="30" numFmtId="0" xfId="0" applyAlignment="1" applyFont="1">
      <alignment vertical="bottom"/>
    </xf>
    <xf borderId="0" fillId="0" fontId="34" numFmtId="0" xfId="0" applyAlignment="1" applyFont="1">
      <alignment vertical="bottom"/>
    </xf>
    <xf borderId="0" fillId="0" fontId="30" numFmtId="0" xfId="0" applyAlignment="1" applyFont="1">
      <alignment shrinkToFit="0" vertical="bottom" wrapText="1"/>
    </xf>
    <xf borderId="261" fillId="0" fontId="4" numFmtId="0" xfId="0" applyAlignment="1" applyBorder="1" applyFont="1">
      <alignment vertical="bottom"/>
    </xf>
    <xf borderId="0" fillId="0" fontId="3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90525" cy="95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utfs.io/f/dhn4pYX1fjPsbMVvsk7sSABfLgU765JEheorRpdiQtxGXD1k" TargetMode="External"/><Relationship Id="rId2" Type="http://schemas.openxmlformats.org/officeDocument/2006/relationships/hyperlink" Target="https://utfs.io/f/dhn4pYX1fjPsW1zFf3YdoIz9W4eCGVSJwsALB6XmghbpjUOM" TargetMode="External"/><Relationship Id="rId3" Type="http://schemas.openxmlformats.org/officeDocument/2006/relationships/hyperlink" Target="https://utfs.io/f/dhn4pYX1fjPs82GAGYvuGJwyvbCrRiQpAUVDT6N3LzZdhMke" TargetMode="External"/><Relationship Id="rId4" Type="http://schemas.openxmlformats.org/officeDocument/2006/relationships/hyperlink" Target="https://utfs.io/f/dhn4pYX1fjPsY4vDOGMsniaJWj6Z0pTqdDxkogL7H4rft3Qz" TargetMode="External"/><Relationship Id="rId5" Type="http://schemas.openxmlformats.org/officeDocument/2006/relationships/hyperlink" Target="https://utfs.io/f/dhn4pYX1fjPsgIdTpoiN7TkPLH5ItxNhDSQYb8uafUiO2CoW" TargetMode="External"/><Relationship Id="rId6" Type="http://schemas.openxmlformats.org/officeDocument/2006/relationships/hyperlink" Target="https://mail.google.com/mail/u/0/?ik=5f4395d19e&amp;view=pt&amp;search=all&amp;permmsgid=msg-f:1861641482887429218&amp;simpl=msg-f:1861641482887429218"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utfs.io/f/dhn4pYX1fjPsgIdTpoiN7TkPLH5ItxNhDSQYb8uafUiO2CoW"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0Ep29o7IeiGq03z_flfdXEXVo5O2K90l5Z8g9vCiHEM/edit?usp=sharing"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1" t="s">
        <v>0</v>
      </c>
      <c r="B1" s="2"/>
      <c r="C1" s="3"/>
      <c r="D1" s="2"/>
      <c r="E1" s="4" t="s">
        <v>1</v>
      </c>
      <c r="F1" s="2"/>
      <c r="G1" s="3"/>
      <c r="H1" s="2"/>
      <c r="I1" s="4" t="s">
        <v>2</v>
      </c>
      <c r="J1" s="2"/>
      <c r="K1" s="5"/>
      <c r="L1" s="2"/>
      <c r="M1" s="6" t="s">
        <v>3</v>
      </c>
      <c r="N1" s="2"/>
      <c r="O1" s="7">
        <v>4.0</v>
      </c>
      <c r="P1" s="2"/>
      <c r="Q1" s="4" t="s">
        <v>4</v>
      </c>
      <c r="R1" s="2"/>
      <c r="S1" s="3"/>
      <c r="T1" s="2"/>
      <c r="U1" s="8"/>
      <c r="V1" s="9"/>
      <c r="W1" s="9"/>
      <c r="X1" s="10"/>
    </row>
    <row r="2" ht="15.75" customHeight="1">
      <c r="A2" s="11" t="s">
        <v>5</v>
      </c>
      <c r="B2" s="12"/>
      <c r="C2" s="13"/>
      <c r="D2" s="12"/>
      <c r="E2" s="14" t="s">
        <v>6</v>
      </c>
      <c r="F2" s="12"/>
      <c r="G2" s="13"/>
      <c r="H2" s="12"/>
      <c r="I2" s="14" t="s">
        <v>7</v>
      </c>
      <c r="J2" s="12"/>
      <c r="K2" s="15"/>
      <c r="L2" s="12"/>
      <c r="M2" s="16" t="s">
        <v>8</v>
      </c>
      <c r="N2" s="12"/>
      <c r="O2" s="13" t="s">
        <v>9</v>
      </c>
      <c r="P2" s="12"/>
      <c r="Q2" s="14" t="s">
        <v>10</v>
      </c>
      <c r="R2" s="12"/>
      <c r="S2" s="13"/>
      <c r="T2" s="12"/>
      <c r="U2" s="17"/>
      <c r="V2" s="18"/>
      <c r="W2" s="18"/>
      <c r="X2" s="19"/>
    </row>
    <row r="3" ht="15.75" customHeight="1">
      <c r="A3" s="11" t="s">
        <v>11</v>
      </c>
      <c r="B3" s="12"/>
      <c r="C3" s="13"/>
      <c r="D3" s="12"/>
      <c r="E3" s="14" t="s">
        <v>12</v>
      </c>
      <c r="F3" s="12"/>
      <c r="G3" s="13"/>
      <c r="H3" s="12"/>
      <c r="I3" s="14" t="s">
        <v>13</v>
      </c>
      <c r="J3" s="12"/>
      <c r="K3" s="20"/>
      <c r="L3" s="12"/>
      <c r="M3" s="16" t="s">
        <v>14</v>
      </c>
      <c r="N3" s="12"/>
      <c r="O3" s="13" t="s">
        <v>15</v>
      </c>
      <c r="P3" s="12"/>
      <c r="Q3" s="14" t="s">
        <v>16</v>
      </c>
      <c r="R3" s="12"/>
      <c r="S3" s="13"/>
      <c r="T3" s="12"/>
      <c r="U3" s="21" t="s">
        <v>17</v>
      </c>
      <c r="V3" s="22"/>
      <c r="W3" s="22"/>
      <c r="X3" s="23"/>
    </row>
    <row r="4" ht="15.75" customHeight="1">
      <c r="A4" s="11" t="s">
        <v>18</v>
      </c>
      <c r="B4" s="12"/>
      <c r="C4" s="13" t="s">
        <v>19</v>
      </c>
      <c r="D4" s="12"/>
      <c r="E4" s="14" t="s">
        <v>20</v>
      </c>
      <c r="F4" s="12"/>
      <c r="G4" s="13"/>
      <c r="H4" s="12"/>
      <c r="I4" s="14" t="s">
        <v>21</v>
      </c>
      <c r="J4" s="12"/>
      <c r="K4" s="24"/>
      <c r="L4" s="25"/>
      <c r="M4" s="26" t="s">
        <v>22</v>
      </c>
      <c r="N4" s="27"/>
      <c r="O4" s="28">
        <v>0.0</v>
      </c>
      <c r="P4" s="27"/>
      <c r="Q4" s="14" t="s">
        <v>23</v>
      </c>
      <c r="R4" s="12"/>
      <c r="S4" s="20"/>
      <c r="T4" s="12"/>
      <c r="U4" s="29" t="s">
        <v>24</v>
      </c>
      <c r="V4" s="22"/>
      <c r="W4" s="22"/>
      <c r="X4" s="23"/>
    </row>
    <row r="5" ht="15.75" customHeight="1">
      <c r="A5" s="30" t="s">
        <v>25</v>
      </c>
      <c r="B5" s="27"/>
      <c r="C5" s="31" t="s">
        <v>26</v>
      </c>
      <c r="D5" s="27"/>
      <c r="E5" s="14" t="s">
        <v>27</v>
      </c>
      <c r="F5" s="12"/>
      <c r="G5" s="13"/>
      <c r="H5" s="12"/>
      <c r="I5" s="14" t="s">
        <v>28</v>
      </c>
      <c r="J5" s="12"/>
      <c r="K5" s="32"/>
      <c r="L5" s="33"/>
      <c r="M5" s="34"/>
      <c r="N5" s="35"/>
      <c r="O5" s="34"/>
      <c r="P5" s="35"/>
      <c r="Q5" s="36" t="s">
        <v>29</v>
      </c>
      <c r="R5" s="27"/>
      <c r="S5" s="37"/>
      <c r="T5" s="27"/>
      <c r="U5" s="38" t="s">
        <v>30</v>
      </c>
      <c r="V5" s="22"/>
      <c r="W5" s="22"/>
      <c r="X5" s="23"/>
    </row>
    <row r="6" ht="15.75" customHeight="1">
      <c r="A6" s="39"/>
      <c r="B6" s="40"/>
      <c r="C6" s="41"/>
      <c r="D6" s="40"/>
      <c r="E6" s="42" t="s">
        <v>31</v>
      </c>
      <c r="F6" s="43"/>
      <c r="G6" s="44"/>
      <c r="H6" s="43"/>
      <c r="I6" s="42" t="s">
        <v>32</v>
      </c>
      <c r="J6" s="43"/>
      <c r="K6" s="45"/>
      <c r="L6" s="43"/>
      <c r="M6" s="41"/>
      <c r="N6" s="40"/>
      <c r="O6" s="41"/>
      <c r="P6" s="40"/>
      <c r="Q6" s="41"/>
      <c r="R6" s="40"/>
      <c r="S6" s="41"/>
      <c r="T6" s="40"/>
      <c r="U6" s="46" t="s">
        <v>33</v>
      </c>
      <c r="V6" s="47"/>
      <c r="W6" s="47"/>
      <c r="X6" s="48"/>
    </row>
    <row r="7" ht="15.75" customHeight="1">
      <c r="A7" s="49" t="s">
        <v>34</v>
      </c>
      <c r="B7" s="50"/>
      <c r="C7" s="50"/>
      <c r="D7" s="50"/>
      <c r="E7" s="50"/>
      <c r="F7" s="50"/>
      <c r="G7" s="50"/>
      <c r="H7" s="50"/>
      <c r="I7" s="50"/>
      <c r="J7" s="50"/>
      <c r="K7" s="50"/>
      <c r="L7" s="50"/>
      <c r="M7" s="50"/>
      <c r="N7" s="50"/>
      <c r="O7" s="50"/>
      <c r="P7" s="50"/>
      <c r="Q7" s="50"/>
      <c r="R7" s="50"/>
      <c r="S7" s="50"/>
      <c r="T7" s="50"/>
      <c r="U7" s="50"/>
      <c r="V7" s="50"/>
      <c r="W7" s="50"/>
      <c r="X7" s="51"/>
    </row>
    <row r="8" ht="15.75" customHeight="1">
      <c r="A8" s="52" t="s">
        <v>35</v>
      </c>
      <c r="B8" s="50"/>
      <c r="C8" s="50"/>
      <c r="D8" s="50"/>
      <c r="E8" s="50"/>
      <c r="F8" s="50"/>
      <c r="G8" s="50"/>
      <c r="H8" s="50"/>
      <c r="I8" s="50"/>
      <c r="J8" s="50"/>
      <c r="K8" s="50"/>
      <c r="L8" s="50"/>
      <c r="M8" s="50"/>
      <c r="N8" s="50"/>
      <c r="O8" s="50"/>
      <c r="P8" s="50"/>
      <c r="Q8" s="50"/>
      <c r="R8" s="50"/>
      <c r="S8" s="50"/>
      <c r="T8" s="50"/>
      <c r="U8" s="50"/>
      <c r="V8" s="50"/>
      <c r="W8" s="50"/>
      <c r="X8" s="51"/>
    </row>
    <row r="9" ht="15.75" customHeight="1">
      <c r="A9" s="53" t="s">
        <v>36</v>
      </c>
      <c r="B9" s="50"/>
      <c r="C9" s="50"/>
      <c r="D9" s="50"/>
      <c r="E9" s="50"/>
      <c r="F9" s="50"/>
      <c r="G9" s="50"/>
      <c r="H9" s="50"/>
      <c r="I9" s="50"/>
      <c r="J9" s="50"/>
      <c r="K9" s="50"/>
      <c r="L9" s="50"/>
      <c r="M9" s="50"/>
      <c r="N9" s="50"/>
      <c r="O9" s="50"/>
      <c r="P9" s="50"/>
      <c r="Q9" s="50"/>
      <c r="R9" s="50"/>
      <c r="S9" s="50"/>
      <c r="T9" s="50"/>
      <c r="U9" s="50"/>
      <c r="V9" s="50"/>
      <c r="W9" s="50"/>
      <c r="X9" s="51"/>
    </row>
    <row r="10" ht="15.75" customHeight="1">
      <c r="A10" s="53" t="s">
        <v>37</v>
      </c>
      <c r="B10" s="51"/>
      <c r="C10" s="53" t="s">
        <v>38</v>
      </c>
      <c r="D10" s="50"/>
      <c r="E10" s="50"/>
      <c r="F10" s="50"/>
      <c r="G10" s="50"/>
      <c r="H10" s="50"/>
      <c r="I10" s="50"/>
      <c r="J10" s="50"/>
      <c r="K10" s="50"/>
      <c r="L10" s="51"/>
      <c r="M10" s="53" t="s">
        <v>39</v>
      </c>
      <c r="N10" s="50"/>
      <c r="O10" s="50"/>
      <c r="P10" s="51"/>
      <c r="Q10" s="53" t="s">
        <v>40</v>
      </c>
      <c r="R10" s="50"/>
      <c r="S10" s="50"/>
      <c r="T10" s="50"/>
      <c r="U10" s="50"/>
      <c r="V10" s="50"/>
      <c r="W10" s="50"/>
      <c r="X10" s="51"/>
    </row>
    <row r="11" ht="15.75" customHeight="1">
      <c r="A11" s="54" t="s">
        <v>41</v>
      </c>
      <c r="B11" s="55"/>
      <c r="C11" s="56" t="s">
        <v>42</v>
      </c>
      <c r="D11" s="57"/>
      <c r="E11" s="57"/>
      <c r="F11" s="57"/>
      <c r="G11" s="57"/>
      <c r="H11" s="57"/>
      <c r="I11" s="57"/>
      <c r="J11" s="57"/>
      <c r="K11" s="57"/>
      <c r="L11" s="55"/>
      <c r="M11" s="58" t="s">
        <v>43</v>
      </c>
      <c r="N11" s="57"/>
      <c r="O11" s="57"/>
      <c r="P11" s="55"/>
      <c r="Q11" s="56" t="s">
        <v>44</v>
      </c>
      <c r="R11" s="57"/>
      <c r="S11" s="57"/>
      <c r="T11" s="57"/>
      <c r="U11" s="57"/>
      <c r="V11" s="57"/>
      <c r="W11" s="57"/>
      <c r="X11" s="59"/>
    </row>
    <row r="12" ht="15.75" customHeight="1">
      <c r="A12" s="60" t="s">
        <v>45</v>
      </c>
      <c r="B12" s="61"/>
      <c r="C12" s="62" t="s">
        <v>46</v>
      </c>
      <c r="D12" s="63"/>
      <c r="E12" s="63"/>
      <c r="F12" s="63"/>
      <c r="G12" s="63"/>
      <c r="H12" s="63"/>
      <c r="I12" s="63"/>
      <c r="J12" s="63"/>
      <c r="K12" s="63"/>
      <c r="L12" s="61"/>
      <c r="M12" s="64" t="s">
        <v>43</v>
      </c>
      <c r="N12" s="63"/>
      <c r="O12" s="63"/>
      <c r="P12" s="61"/>
      <c r="Q12" s="62" t="s">
        <v>47</v>
      </c>
      <c r="R12" s="63"/>
      <c r="S12" s="63"/>
      <c r="T12" s="63"/>
      <c r="U12" s="63"/>
      <c r="V12" s="63"/>
      <c r="W12" s="63"/>
      <c r="X12" s="65"/>
    </row>
    <row r="13" ht="15.75" customHeight="1">
      <c r="A13" s="60" t="s">
        <v>48</v>
      </c>
      <c r="B13" s="61"/>
      <c r="C13" s="62" t="s">
        <v>49</v>
      </c>
      <c r="D13" s="63"/>
      <c r="E13" s="63"/>
      <c r="F13" s="63"/>
      <c r="G13" s="63"/>
      <c r="H13" s="63"/>
      <c r="I13" s="63"/>
      <c r="J13" s="63"/>
      <c r="K13" s="63"/>
      <c r="L13" s="61"/>
      <c r="M13" s="64" t="s">
        <v>43</v>
      </c>
      <c r="N13" s="63"/>
      <c r="O13" s="63"/>
      <c r="P13" s="61"/>
      <c r="Q13" s="62" t="s">
        <v>50</v>
      </c>
      <c r="R13" s="63"/>
      <c r="S13" s="63"/>
      <c r="T13" s="63"/>
      <c r="U13" s="63"/>
      <c r="V13" s="63"/>
      <c r="W13" s="63"/>
      <c r="X13" s="65"/>
    </row>
    <row r="14" ht="15.75" customHeight="1">
      <c r="A14" s="60" t="s">
        <v>51</v>
      </c>
      <c r="B14" s="61"/>
      <c r="C14" s="62" t="s">
        <v>52</v>
      </c>
      <c r="D14" s="63"/>
      <c r="E14" s="63"/>
      <c r="F14" s="63"/>
      <c r="G14" s="63"/>
      <c r="H14" s="63"/>
      <c r="I14" s="63"/>
      <c r="J14" s="63"/>
      <c r="K14" s="63"/>
      <c r="L14" s="61"/>
      <c r="M14" s="64" t="s">
        <v>43</v>
      </c>
      <c r="N14" s="63"/>
      <c r="O14" s="63"/>
      <c r="P14" s="61"/>
      <c r="Q14" s="62" t="s">
        <v>53</v>
      </c>
      <c r="R14" s="63"/>
      <c r="S14" s="63"/>
      <c r="T14" s="63"/>
      <c r="U14" s="63"/>
      <c r="V14" s="63"/>
      <c r="W14" s="63"/>
      <c r="X14" s="65"/>
    </row>
    <row r="15" ht="15.75" customHeight="1">
      <c r="A15" s="60" t="s">
        <v>54</v>
      </c>
      <c r="B15" s="61"/>
      <c r="C15" s="66" t="s">
        <v>55</v>
      </c>
      <c r="D15" s="63"/>
      <c r="E15" s="63"/>
      <c r="F15" s="63"/>
      <c r="G15" s="63"/>
      <c r="H15" s="63"/>
      <c r="I15" s="63"/>
      <c r="J15" s="63"/>
      <c r="K15" s="63"/>
      <c r="L15" s="61"/>
      <c r="M15" s="64" t="s">
        <v>43</v>
      </c>
      <c r="N15" s="63"/>
      <c r="O15" s="63"/>
      <c r="P15" s="61"/>
      <c r="Q15" s="62" t="s">
        <v>56</v>
      </c>
      <c r="R15" s="63"/>
      <c r="S15" s="63"/>
      <c r="T15" s="63"/>
      <c r="U15" s="63"/>
      <c r="V15" s="63"/>
      <c r="W15" s="63"/>
      <c r="X15" s="65"/>
    </row>
    <row r="16" ht="15.75" customHeight="1">
      <c r="A16" s="60" t="s">
        <v>57</v>
      </c>
      <c r="B16" s="61"/>
      <c r="C16" s="66" t="s">
        <v>58</v>
      </c>
      <c r="D16" s="63"/>
      <c r="E16" s="63"/>
      <c r="F16" s="63"/>
      <c r="G16" s="63"/>
      <c r="H16" s="63"/>
      <c r="I16" s="63"/>
      <c r="J16" s="63"/>
      <c r="K16" s="63"/>
      <c r="L16" s="61"/>
      <c r="M16" s="64" t="s">
        <v>43</v>
      </c>
      <c r="N16" s="63"/>
      <c r="O16" s="63"/>
      <c r="P16" s="61"/>
      <c r="Q16" s="62" t="s">
        <v>59</v>
      </c>
      <c r="R16" s="63"/>
      <c r="S16" s="63"/>
      <c r="T16" s="63"/>
      <c r="U16" s="63"/>
      <c r="V16" s="63"/>
      <c r="W16" s="63"/>
      <c r="X16" s="65"/>
    </row>
    <row r="17" ht="15.75" customHeight="1">
      <c r="A17" s="60" t="s">
        <v>60</v>
      </c>
      <c r="B17" s="61"/>
      <c r="C17" s="66" t="s">
        <v>61</v>
      </c>
      <c r="D17" s="63"/>
      <c r="E17" s="63"/>
      <c r="F17" s="63"/>
      <c r="G17" s="63"/>
      <c r="H17" s="63"/>
      <c r="I17" s="63"/>
      <c r="J17" s="63"/>
      <c r="K17" s="63"/>
      <c r="L17" s="61"/>
      <c r="M17" s="64" t="s">
        <v>43</v>
      </c>
      <c r="N17" s="63"/>
      <c r="O17" s="63"/>
      <c r="P17" s="61"/>
      <c r="Q17" s="62" t="s">
        <v>62</v>
      </c>
      <c r="R17" s="63"/>
      <c r="S17" s="63"/>
      <c r="T17" s="63"/>
      <c r="U17" s="63"/>
      <c r="V17" s="63"/>
      <c r="W17" s="63"/>
      <c r="X17" s="65"/>
    </row>
    <row r="18" ht="15.75" customHeight="1">
      <c r="A18" s="60" t="s">
        <v>63</v>
      </c>
      <c r="B18" s="61"/>
      <c r="C18" s="66" t="s">
        <v>64</v>
      </c>
      <c r="D18" s="63"/>
      <c r="E18" s="63"/>
      <c r="F18" s="63"/>
      <c r="G18" s="63"/>
      <c r="H18" s="63"/>
      <c r="I18" s="63"/>
      <c r="J18" s="63"/>
      <c r="K18" s="63"/>
      <c r="L18" s="61"/>
      <c r="M18" s="64" t="s">
        <v>43</v>
      </c>
      <c r="N18" s="63"/>
      <c r="O18" s="63"/>
      <c r="P18" s="61"/>
      <c r="Q18" s="62" t="s">
        <v>65</v>
      </c>
      <c r="R18" s="63"/>
      <c r="S18" s="63"/>
      <c r="T18" s="63"/>
      <c r="U18" s="63"/>
      <c r="V18" s="63"/>
      <c r="W18" s="63"/>
      <c r="X18" s="65"/>
    </row>
    <row r="19" ht="15.75" customHeight="1">
      <c r="A19" s="60" t="s">
        <v>66</v>
      </c>
      <c r="B19" s="61"/>
      <c r="C19" s="66" t="s">
        <v>67</v>
      </c>
      <c r="D19" s="63"/>
      <c r="E19" s="63"/>
      <c r="F19" s="63"/>
      <c r="G19" s="63"/>
      <c r="H19" s="63"/>
      <c r="I19" s="63"/>
      <c r="J19" s="63"/>
      <c r="K19" s="63"/>
      <c r="L19" s="61"/>
      <c r="M19" s="64" t="s">
        <v>43</v>
      </c>
      <c r="N19" s="63"/>
      <c r="O19" s="63"/>
      <c r="P19" s="61"/>
      <c r="Q19" s="62" t="s">
        <v>68</v>
      </c>
      <c r="R19" s="63"/>
      <c r="S19" s="63"/>
      <c r="T19" s="63"/>
      <c r="U19" s="63"/>
      <c r="V19" s="63"/>
      <c r="W19" s="63"/>
      <c r="X19" s="65"/>
    </row>
    <row r="20" ht="15.75" customHeight="1">
      <c r="A20" s="60" t="s">
        <v>69</v>
      </c>
      <c r="B20" s="61"/>
      <c r="C20" s="66" t="s">
        <v>70</v>
      </c>
      <c r="D20" s="63"/>
      <c r="E20" s="63"/>
      <c r="F20" s="63"/>
      <c r="G20" s="63"/>
      <c r="H20" s="63"/>
      <c r="I20" s="63"/>
      <c r="J20" s="63"/>
      <c r="K20" s="63"/>
      <c r="L20" s="61"/>
      <c r="M20" s="64" t="s">
        <v>43</v>
      </c>
      <c r="N20" s="63"/>
      <c r="O20" s="63"/>
      <c r="P20" s="61"/>
      <c r="Q20" s="62" t="s">
        <v>71</v>
      </c>
      <c r="R20" s="63"/>
      <c r="S20" s="63"/>
      <c r="T20" s="63"/>
      <c r="U20" s="63"/>
      <c r="V20" s="63"/>
      <c r="W20" s="63"/>
      <c r="X20" s="65"/>
    </row>
    <row r="21" ht="15.75" customHeight="1">
      <c r="A21" s="60" t="s">
        <v>72</v>
      </c>
      <c r="B21" s="61"/>
      <c r="C21" s="66" t="s">
        <v>73</v>
      </c>
      <c r="D21" s="63"/>
      <c r="E21" s="63"/>
      <c r="F21" s="63"/>
      <c r="G21" s="63"/>
      <c r="H21" s="63"/>
      <c r="I21" s="63"/>
      <c r="J21" s="63"/>
      <c r="K21" s="63"/>
      <c r="L21" s="61"/>
      <c r="M21" s="64" t="s">
        <v>43</v>
      </c>
      <c r="N21" s="63"/>
      <c r="O21" s="63"/>
      <c r="P21" s="61"/>
      <c r="Q21" s="62" t="s">
        <v>74</v>
      </c>
      <c r="R21" s="63"/>
      <c r="S21" s="63"/>
      <c r="T21" s="63"/>
      <c r="U21" s="63"/>
      <c r="V21" s="63"/>
      <c r="W21" s="63"/>
      <c r="X21" s="65"/>
    </row>
    <row r="22" ht="15.75" customHeight="1">
      <c r="A22" s="60" t="s">
        <v>75</v>
      </c>
      <c r="B22" s="61"/>
      <c r="C22" s="66" t="s">
        <v>76</v>
      </c>
      <c r="D22" s="63"/>
      <c r="E22" s="63"/>
      <c r="F22" s="63"/>
      <c r="G22" s="63"/>
      <c r="H22" s="63"/>
      <c r="I22" s="63"/>
      <c r="J22" s="63"/>
      <c r="K22" s="63"/>
      <c r="L22" s="61"/>
      <c r="M22" s="64" t="s">
        <v>43</v>
      </c>
      <c r="N22" s="63"/>
      <c r="O22" s="63"/>
      <c r="P22" s="61"/>
      <c r="Q22" s="62" t="s">
        <v>77</v>
      </c>
      <c r="R22" s="63"/>
      <c r="S22" s="63"/>
      <c r="T22" s="63"/>
      <c r="U22" s="63"/>
      <c r="V22" s="63"/>
      <c r="W22" s="63"/>
      <c r="X22" s="65"/>
    </row>
    <row r="23" ht="15.75" customHeight="1">
      <c r="A23" s="60" t="s">
        <v>78</v>
      </c>
      <c r="B23" s="61"/>
      <c r="C23" s="66" t="s">
        <v>79</v>
      </c>
      <c r="D23" s="63"/>
      <c r="E23" s="63"/>
      <c r="F23" s="63"/>
      <c r="G23" s="63"/>
      <c r="H23" s="63"/>
      <c r="I23" s="63"/>
      <c r="J23" s="63"/>
      <c r="K23" s="63"/>
      <c r="L23" s="61"/>
      <c r="M23" s="64" t="s">
        <v>43</v>
      </c>
      <c r="N23" s="63"/>
      <c r="O23" s="63"/>
      <c r="P23" s="61"/>
      <c r="Q23" s="62" t="s">
        <v>80</v>
      </c>
      <c r="R23" s="63"/>
      <c r="S23" s="63"/>
      <c r="T23" s="63"/>
      <c r="U23" s="63"/>
      <c r="V23" s="63"/>
      <c r="W23" s="63"/>
      <c r="X23" s="65"/>
    </row>
    <row r="24" ht="15.75" customHeight="1">
      <c r="A24" s="60" t="s">
        <v>81</v>
      </c>
      <c r="B24" s="61"/>
      <c r="C24" s="66" t="s">
        <v>82</v>
      </c>
      <c r="D24" s="63"/>
      <c r="E24" s="63"/>
      <c r="F24" s="63"/>
      <c r="G24" s="63"/>
      <c r="H24" s="63"/>
      <c r="I24" s="63"/>
      <c r="J24" s="63"/>
      <c r="K24" s="63"/>
      <c r="L24" s="61"/>
      <c r="M24" s="64" t="s">
        <v>43</v>
      </c>
      <c r="N24" s="63"/>
      <c r="O24" s="63"/>
      <c r="P24" s="61"/>
      <c r="Q24" s="62" t="s">
        <v>83</v>
      </c>
      <c r="R24" s="63"/>
      <c r="S24" s="63"/>
      <c r="T24" s="63"/>
      <c r="U24" s="63"/>
      <c r="V24" s="63"/>
      <c r="W24" s="63"/>
      <c r="X24" s="65"/>
    </row>
    <row r="25" ht="15.75" customHeight="1">
      <c r="A25" s="60" t="s">
        <v>84</v>
      </c>
      <c r="B25" s="61"/>
      <c r="C25" s="66" t="s">
        <v>85</v>
      </c>
      <c r="D25" s="63"/>
      <c r="E25" s="63"/>
      <c r="F25" s="63"/>
      <c r="G25" s="63"/>
      <c r="H25" s="63"/>
      <c r="I25" s="63"/>
      <c r="J25" s="63"/>
      <c r="K25" s="63"/>
      <c r="L25" s="61"/>
      <c r="M25" s="64" t="s">
        <v>43</v>
      </c>
      <c r="N25" s="63"/>
      <c r="O25" s="63"/>
      <c r="P25" s="61"/>
      <c r="Q25" s="62" t="s">
        <v>86</v>
      </c>
      <c r="R25" s="63"/>
      <c r="S25" s="63"/>
      <c r="T25" s="63"/>
      <c r="U25" s="63"/>
      <c r="V25" s="63"/>
      <c r="W25" s="63"/>
      <c r="X25" s="65"/>
    </row>
    <row r="26" ht="15.75" customHeight="1">
      <c r="A26" s="60" t="s">
        <v>87</v>
      </c>
      <c r="B26" s="61"/>
      <c r="C26" s="66" t="s">
        <v>88</v>
      </c>
      <c r="D26" s="63"/>
      <c r="E26" s="63"/>
      <c r="F26" s="63"/>
      <c r="G26" s="63"/>
      <c r="H26" s="63"/>
      <c r="I26" s="63"/>
      <c r="J26" s="63"/>
      <c r="K26" s="63"/>
      <c r="L26" s="61"/>
      <c r="M26" s="64" t="s">
        <v>43</v>
      </c>
      <c r="N26" s="63"/>
      <c r="O26" s="63"/>
      <c r="P26" s="61"/>
      <c r="Q26" s="62" t="s">
        <v>89</v>
      </c>
      <c r="R26" s="63"/>
      <c r="S26" s="63"/>
      <c r="T26" s="63"/>
      <c r="U26" s="63"/>
      <c r="V26" s="63"/>
      <c r="W26" s="63"/>
      <c r="X26" s="65"/>
    </row>
    <row r="27" ht="15.75" customHeight="1">
      <c r="A27" s="60" t="s">
        <v>90</v>
      </c>
      <c r="B27" s="61"/>
      <c r="C27" s="66" t="s">
        <v>91</v>
      </c>
      <c r="D27" s="63"/>
      <c r="E27" s="63"/>
      <c r="F27" s="63"/>
      <c r="G27" s="63"/>
      <c r="H27" s="63"/>
      <c r="I27" s="63"/>
      <c r="J27" s="63"/>
      <c r="K27" s="63"/>
      <c r="L27" s="61"/>
      <c r="M27" s="64" t="s">
        <v>43</v>
      </c>
      <c r="N27" s="63"/>
      <c r="O27" s="63"/>
      <c r="P27" s="61"/>
      <c r="Q27" s="62" t="s">
        <v>92</v>
      </c>
      <c r="R27" s="63"/>
      <c r="S27" s="63"/>
      <c r="T27" s="63"/>
      <c r="U27" s="63"/>
      <c r="V27" s="63"/>
      <c r="W27" s="63"/>
      <c r="X27" s="65"/>
    </row>
    <row r="28" ht="15.75" customHeight="1">
      <c r="A28" s="60" t="s">
        <v>93</v>
      </c>
      <c r="B28" s="61"/>
      <c r="C28" s="66" t="s">
        <v>94</v>
      </c>
      <c r="D28" s="63"/>
      <c r="E28" s="63"/>
      <c r="F28" s="63"/>
      <c r="G28" s="63"/>
      <c r="H28" s="63"/>
      <c r="I28" s="63"/>
      <c r="J28" s="63"/>
      <c r="K28" s="63"/>
      <c r="L28" s="61"/>
      <c r="M28" s="67" t="s">
        <v>43</v>
      </c>
      <c r="N28" s="63"/>
      <c r="O28" s="63"/>
      <c r="P28" s="61"/>
      <c r="Q28" s="62" t="s">
        <v>95</v>
      </c>
      <c r="R28" s="63"/>
      <c r="S28" s="63"/>
      <c r="T28" s="63"/>
      <c r="U28" s="63"/>
      <c r="V28" s="63"/>
      <c r="W28" s="63"/>
      <c r="X28" s="65"/>
    </row>
    <row r="29" ht="15.75" customHeight="1">
      <c r="A29" s="68" t="s">
        <v>96</v>
      </c>
      <c r="B29" s="69"/>
      <c r="C29" s="62" t="s">
        <v>97</v>
      </c>
      <c r="D29" s="63"/>
      <c r="E29" s="63"/>
      <c r="F29" s="63"/>
      <c r="G29" s="63"/>
      <c r="H29" s="63"/>
      <c r="I29" s="63"/>
      <c r="J29" s="63"/>
      <c r="K29" s="63"/>
      <c r="L29" s="61"/>
      <c r="M29" s="64" t="s">
        <v>43</v>
      </c>
      <c r="N29" s="63"/>
      <c r="O29" s="63"/>
      <c r="P29" s="61"/>
      <c r="Q29" s="62" t="s">
        <v>98</v>
      </c>
      <c r="R29" s="63"/>
      <c r="S29" s="63"/>
      <c r="T29" s="63"/>
      <c r="U29" s="63"/>
      <c r="V29" s="63"/>
      <c r="W29" s="63"/>
      <c r="X29" s="65"/>
    </row>
    <row r="30" ht="15.75" customHeight="1">
      <c r="A30" s="60" t="s">
        <v>99</v>
      </c>
      <c r="B30" s="61"/>
      <c r="C30" s="62" t="s">
        <v>100</v>
      </c>
      <c r="D30" s="63"/>
      <c r="E30" s="63"/>
      <c r="F30" s="63"/>
      <c r="G30" s="63"/>
      <c r="H30" s="63"/>
      <c r="I30" s="63"/>
      <c r="J30" s="63"/>
      <c r="K30" s="63"/>
      <c r="L30" s="61"/>
      <c r="M30" s="67" t="s">
        <v>43</v>
      </c>
      <c r="N30" s="63"/>
      <c r="O30" s="63"/>
      <c r="P30" s="61"/>
      <c r="Q30" s="62"/>
      <c r="R30" s="63"/>
      <c r="S30" s="63"/>
      <c r="T30" s="63"/>
      <c r="U30" s="63"/>
      <c r="V30" s="63"/>
      <c r="W30" s="63"/>
      <c r="X30" s="65"/>
    </row>
    <row r="31" ht="15.75" customHeight="1">
      <c r="A31" s="60"/>
      <c r="B31" s="61"/>
      <c r="C31" s="62"/>
      <c r="D31" s="63"/>
      <c r="E31" s="63"/>
      <c r="F31" s="63"/>
      <c r="G31" s="63"/>
      <c r="H31" s="63"/>
      <c r="I31" s="63"/>
      <c r="J31" s="63"/>
      <c r="K31" s="63"/>
      <c r="L31" s="61"/>
      <c r="M31" s="62"/>
      <c r="N31" s="63"/>
      <c r="O31" s="63"/>
      <c r="P31" s="61"/>
      <c r="Q31" s="62"/>
      <c r="R31" s="63"/>
      <c r="S31" s="63"/>
      <c r="T31" s="63"/>
      <c r="U31" s="63"/>
      <c r="V31" s="63"/>
      <c r="W31" s="63"/>
      <c r="X31" s="65"/>
    </row>
    <row r="32" ht="15.75" customHeight="1">
      <c r="A32" s="60"/>
      <c r="B32" s="61"/>
      <c r="C32" s="62"/>
      <c r="D32" s="63"/>
      <c r="E32" s="63"/>
      <c r="F32" s="63"/>
      <c r="G32" s="63"/>
      <c r="H32" s="63"/>
      <c r="I32" s="63"/>
      <c r="J32" s="63"/>
      <c r="K32" s="63"/>
      <c r="L32" s="61"/>
      <c r="M32" s="62"/>
      <c r="N32" s="63"/>
      <c r="O32" s="63"/>
      <c r="P32" s="61"/>
      <c r="Q32" s="62"/>
      <c r="R32" s="63"/>
      <c r="S32" s="63"/>
      <c r="T32" s="63"/>
      <c r="U32" s="63"/>
      <c r="V32" s="63"/>
      <c r="W32" s="63"/>
      <c r="X32" s="65"/>
    </row>
    <row r="33" ht="15.75" customHeight="1">
      <c r="A33" s="60"/>
      <c r="B33" s="61"/>
      <c r="C33" s="62"/>
      <c r="D33" s="63"/>
      <c r="E33" s="63"/>
      <c r="F33" s="63"/>
      <c r="G33" s="63"/>
      <c r="H33" s="63"/>
      <c r="I33" s="63"/>
      <c r="J33" s="63"/>
      <c r="K33" s="63"/>
      <c r="L33" s="61"/>
      <c r="M33" s="62"/>
      <c r="N33" s="63"/>
      <c r="O33" s="63"/>
      <c r="P33" s="61"/>
      <c r="Q33" s="62"/>
      <c r="R33" s="63"/>
      <c r="S33" s="63"/>
      <c r="T33" s="63"/>
      <c r="U33" s="63"/>
      <c r="V33" s="63"/>
      <c r="W33" s="63"/>
      <c r="X33" s="65"/>
    </row>
    <row r="34" ht="15.75" customHeight="1">
      <c r="A34" s="60"/>
      <c r="B34" s="61"/>
      <c r="C34" s="62"/>
      <c r="D34" s="63"/>
      <c r="E34" s="63"/>
      <c r="F34" s="63"/>
      <c r="G34" s="63"/>
      <c r="H34" s="63"/>
      <c r="I34" s="63"/>
      <c r="J34" s="63"/>
      <c r="K34" s="63"/>
      <c r="L34" s="61"/>
      <c r="M34" s="62"/>
      <c r="N34" s="63"/>
      <c r="O34" s="63"/>
      <c r="P34" s="61"/>
      <c r="Q34" s="62"/>
      <c r="R34" s="63"/>
      <c r="S34" s="63"/>
      <c r="T34" s="63"/>
      <c r="U34" s="63"/>
      <c r="V34" s="63"/>
      <c r="W34" s="63"/>
      <c r="X34" s="65"/>
    </row>
    <row r="35" ht="15.75" customHeight="1">
      <c r="A35" s="60"/>
      <c r="B35" s="61"/>
      <c r="C35" s="62"/>
      <c r="D35" s="63"/>
      <c r="E35" s="63"/>
      <c r="F35" s="63"/>
      <c r="G35" s="63"/>
      <c r="H35" s="63"/>
      <c r="I35" s="63"/>
      <c r="J35" s="63"/>
      <c r="K35" s="63"/>
      <c r="L35" s="61"/>
      <c r="M35" s="62"/>
      <c r="N35" s="63"/>
      <c r="O35" s="63"/>
      <c r="P35" s="61"/>
      <c r="Q35" s="62"/>
      <c r="R35" s="63"/>
      <c r="S35" s="63"/>
      <c r="T35" s="63"/>
      <c r="U35" s="63"/>
      <c r="V35" s="63"/>
      <c r="W35" s="63"/>
      <c r="X35" s="65"/>
    </row>
    <row r="36" ht="15.75" customHeight="1">
      <c r="A36" s="60"/>
      <c r="B36" s="61"/>
      <c r="C36" s="62"/>
      <c r="D36" s="63"/>
      <c r="E36" s="63"/>
      <c r="F36" s="63"/>
      <c r="G36" s="63"/>
      <c r="H36" s="63"/>
      <c r="I36" s="63"/>
      <c r="J36" s="63"/>
      <c r="K36" s="63"/>
      <c r="L36" s="61"/>
      <c r="M36" s="62"/>
      <c r="N36" s="63"/>
      <c r="O36" s="63"/>
      <c r="P36" s="61"/>
      <c r="Q36" s="62"/>
      <c r="R36" s="63"/>
      <c r="S36" s="63"/>
      <c r="T36" s="63"/>
      <c r="U36" s="63"/>
      <c r="V36" s="63"/>
      <c r="W36" s="63"/>
      <c r="X36" s="65"/>
    </row>
    <row r="37" ht="15.75" customHeight="1">
      <c r="A37" s="70"/>
      <c r="B37" s="71"/>
      <c r="C37" s="72"/>
      <c r="D37" s="73"/>
      <c r="E37" s="73"/>
      <c r="F37" s="73"/>
      <c r="G37" s="73"/>
      <c r="H37" s="73"/>
      <c r="I37" s="73"/>
      <c r="J37" s="73"/>
      <c r="K37" s="73"/>
      <c r="L37" s="71"/>
      <c r="M37" s="72"/>
      <c r="N37" s="73"/>
      <c r="O37" s="73"/>
      <c r="P37" s="71"/>
      <c r="Q37" s="72"/>
      <c r="R37" s="73"/>
      <c r="S37" s="73"/>
      <c r="T37" s="73"/>
      <c r="U37" s="73"/>
      <c r="V37" s="73"/>
      <c r="W37" s="73"/>
      <c r="X37" s="74"/>
    </row>
    <row r="38" ht="15.75" customHeight="1">
      <c r="A38" s="75"/>
      <c r="B38" s="50"/>
      <c r="C38" s="50"/>
      <c r="D38" s="50"/>
      <c r="E38" s="50"/>
      <c r="F38" s="50"/>
      <c r="G38" s="50"/>
      <c r="H38" s="50"/>
      <c r="I38" s="50"/>
      <c r="J38" s="50"/>
      <c r="K38" s="50"/>
      <c r="L38" s="50"/>
      <c r="M38" s="50"/>
      <c r="N38" s="50"/>
      <c r="O38" s="50"/>
      <c r="P38" s="50"/>
      <c r="Q38" s="50"/>
      <c r="R38" s="50"/>
      <c r="S38" s="50"/>
      <c r="T38" s="50"/>
      <c r="U38" s="50"/>
      <c r="V38" s="50"/>
      <c r="W38" s="50"/>
      <c r="X38" s="51"/>
    </row>
    <row r="39" ht="15.75" customHeight="1">
      <c r="A39" s="53" t="s">
        <v>101</v>
      </c>
      <c r="B39" s="50"/>
      <c r="C39" s="50"/>
      <c r="D39" s="50"/>
      <c r="E39" s="50"/>
      <c r="F39" s="50"/>
      <c r="G39" s="50"/>
      <c r="H39" s="50"/>
      <c r="I39" s="50"/>
      <c r="J39" s="50"/>
      <c r="K39" s="50"/>
      <c r="L39" s="51"/>
      <c r="M39" s="76" t="s">
        <v>102</v>
      </c>
      <c r="N39" s="50"/>
      <c r="O39" s="50"/>
      <c r="P39" s="50"/>
      <c r="Q39" s="51"/>
      <c r="R39" s="75"/>
      <c r="S39" s="50"/>
      <c r="T39" s="50"/>
      <c r="U39" s="50"/>
      <c r="V39" s="50"/>
      <c r="W39" s="50"/>
      <c r="X39" s="51"/>
    </row>
    <row r="40" ht="15.75" customHeight="1">
      <c r="A40" s="77"/>
      <c r="B40" s="9"/>
      <c r="C40" s="9"/>
      <c r="D40" s="9"/>
      <c r="E40" s="9"/>
      <c r="F40" s="9"/>
      <c r="G40" s="9"/>
      <c r="H40" s="9"/>
      <c r="I40" s="9"/>
      <c r="J40" s="9"/>
      <c r="K40" s="9"/>
      <c r="L40" s="10"/>
      <c r="M40" s="78" t="s">
        <v>103</v>
      </c>
      <c r="N40" s="9"/>
      <c r="O40" s="9"/>
      <c r="P40" s="9"/>
      <c r="Q40" s="10"/>
      <c r="R40" s="77"/>
      <c r="S40" s="9"/>
      <c r="T40" s="9"/>
      <c r="U40" s="9"/>
      <c r="V40" s="9"/>
      <c r="W40" s="9"/>
      <c r="X40" s="10"/>
    </row>
    <row r="41" ht="15.75" customHeight="1">
      <c r="A41" s="79"/>
      <c r="L41" s="80"/>
      <c r="M41" s="79"/>
      <c r="Q41" s="80"/>
      <c r="R41" s="79"/>
      <c r="X41" s="80"/>
    </row>
    <row r="42" ht="15.75" customHeight="1">
      <c r="A42" s="79"/>
      <c r="L42" s="80"/>
      <c r="M42" s="79"/>
      <c r="Q42" s="80"/>
      <c r="R42" s="79"/>
      <c r="X42" s="80"/>
    </row>
    <row r="43" ht="15.75" customHeight="1">
      <c r="A43" s="79"/>
      <c r="L43" s="80"/>
      <c r="M43" s="79"/>
      <c r="Q43" s="80"/>
      <c r="R43" s="79"/>
      <c r="X43" s="80"/>
    </row>
    <row r="44" ht="15.75" customHeight="1">
      <c r="A44" s="79"/>
      <c r="L44" s="80"/>
      <c r="M44" s="79"/>
      <c r="Q44" s="80"/>
      <c r="R44" s="79"/>
      <c r="X44" s="80"/>
    </row>
    <row r="45" ht="15.75" customHeight="1">
      <c r="A45" s="79"/>
      <c r="L45" s="80"/>
      <c r="M45" s="79"/>
      <c r="Q45" s="80"/>
      <c r="R45" s="79"/>
      <c r="X45" s="80"/>
    </row>
    <row r="46" ht="15.75" customHeight="1">
      <c r="A46" s="39"/>
      <c r="B46" s="81"/>
      <c r="C46" s="81"/>
      <c r="D46" s="81"/>
      <c r="E46" s="81"/>
      <c r="F46" s="81"/>
      <c r="G46" s="81"/>
      <c r="H46" s="81"/>
      <c r="I46" s="81"/>
      <c r="J46" s="81"/>
      <c r="K46" s="81"/>
      <c r="L46" s="82"/>
      <c r="M46" s="39"/>
      <c r="N46" s="81"/>
      <c r="O46" s="81"/>
      <c r="P46" s="81"/>
      <c r="Q46" s="82"/>
      <c r="R46" s="39"/>
      <c r="S46" s="81"/>
      <c r="T46" s="81"/>
      <c r="U46" s="81"/>
      <c r="V46" s="81"/>
      <c r="W46" s="81"/>
      <c r="X46" s="82"/>
    </row>
    <row r="47" ht="15.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row>
    <row r="48" ht="15.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8">
    <mergeCell ref="M10:P10"/>
    <mergeCell ref="Q10:X10"/>
    <mergeCell ref="E5:F5"/>
    <mergeCell ref="G5:H5"/>
    <mergeCell ref="A7:X7"/>
    <mergeCell ref="A8:X8"/>
    <mergeCell ref="A9:X9"/>
    <mergeCell ref="A10:B10"/>
    <mergeCell ref="C10:L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C34:L34"/>
    <mergeCell ref="M34:P34"/>
    <mergeCell ref="Q34:X34"/>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A11:B11"/>
    <mergeCell ref="C11:L11"/>
    <mergeCell ref="M11:P11"/>
    <mergeCell ref="Q11:X11"/>
    <mergeCell ref="C12:L12"/>
    <mergeCell ref="M12:P12"/>
    <mergeCell ref="Q12:X12"/>
    <mergeCell ref="A12:B12"/>
    <mergeCell ref="A13:B13"/>
    <mergeCell ref="C13:L13"/>
    <mergeCell ref="M13:P13"/>
    <mergeCell ref="Q13:X13"/>
    <mergeCell ref="A14:B14"/>
    <mergeCell ref="C14:L14"/>
    <mergeCell ref="M14:P14"/>
    <mergeCell ref="Q14:X14"/>
    <mergeCell ref="A15:B15"/>
    <mergeCell ref="C15:L15"/>
    <mergeCell ref="M15:P15"/>
    <mergeCell ref="Q15:X15"/>
    <mergeCell ref="A16:B16"/>
    <mergeCell ref="Q16:X16"/>
    <mergeCell ref="C16:L16"/>
    <mergeCell ref="M16:P16"/>
    <mergeCell ref="A17:B17"/>
    <mergeCell ref="C17:L17"/>
    <mergeCell ref="M17:P17"/>
    <mergeCell ref="Q17:X17"/>
    <mergeCell ref="A18:B18"/>
    <mergeCell ref="Q18:X18"/>
    <mergeCell ref="C18:L18"/>
    <mergeCell ref="M18:P18"/>
    <mergeCell ref="A19:B19"/>
    <mergeCell ref="C19:L19"/>
    <mergeCell ref="M19:P19"/>
    <mergeCell ref="Q19:X19"/>
    <mergeCell ref="A20:B20"/>
    <mergeCell ref="Q20:X20"/>
    <mergeCell ref="C20:L20"/>
    <mergeCell ref="M20:P20"/>
    <mergeCell ref="A21:B21"/>
    <mergeCell ref="C21:L21"/>
    <mergeCell ref="M21:P21"/>
    <mergeCell ref="Q21:X21"/>
    <mergeCell ref="A22:B22"/>
    <mergeCell ref="Q22:X22"/>
    <mergeCell ref="C22:L22"/>
    <mergeCell ref="M22:P22"/>
    <mergeCell ref="A23:B23"/>
    <mergeCell ref="C23:L23"/>
    <mergeCell ref="M23:P23"/>
    <mergeCell ref="Q23:X23"/>
    <mergeCell ref="A24:B24"/>
    <mergeCell ref="Q24:X24"/>
    <mergeCell ref="C24:L24"/>
    <mergeCell ref="M24:P24"/>
    <mergeCell ref="A25:B25"/>
    <mergeCell ref="C25:L25"/>
    <mergeCell ref="M25:P25"/>
    <mergeCell ref="Q25:X25"/>
    <mergeCell ref="A26:B26"/>
    <mergeCell ref="Q26:X26"/>
    <mergeCell ref="C26:L26"/>
    <mergeCell ref="M26:P26"/>
    <mergeCell ref="A27:B27"/>
    <mergeCell ref="C27:L27"/>
    <mergeCell ref="M27:P27"/>
    <mergeCell ref="Q27:X27"/>
    <mergeCell ref="A28:B28"/>
    <mergeCell ref="Q28:X28"/>
    <mergeCell ref="C28:L28"/>
    <mergeCell ref="M28:P28"/>
    <mergeCell ref="C29:L29"/>
    <mergeCell ref="M29:P29"/>
    <mergeCell ref="Q29:X29"/>
    <mergeCell ref="A30:B30"/>
    <mergeCell ref="C30:L30"/>
    <mergeCell ref="M30:P30"/>
    <mergeCell ref="Q30:X30"/>
    <mergeCell ref="A31:B31"/>
    <mergeCell ref="C31:L31"/>
    <mergeCell ref="M31:P31"/>
    <mergeCell ref="Q31:X31"/>
    <mergeCell ref="A32:B32"/>
    <mergeCell ref="Q32:X32"/>
    <mergeCell ref="C32:L32"/>
    <mergeCell ref="M32:P32"/>
    <mergeCell ref="A33:B33"/>
    <mergeCell ref="C33:L33"/>
    <mergeCell ref="M33:P33"/>
    <mergeCell ref="Q33:X33"/>
    <mergeCell ref="A34:B34"/>
    <mergeCell ref="A35:B35"/>
    <mergeCell ref="C35:L35"/>
    <mergeCell ref="M35:P35"/>
    <mergeCell ref="Q35:X35"/>
    <mergeCell ref="C36:L36"/>
    <mergeCell ref="M36:P36"/>
    <mergeCell ref="Q36:X36"/>
    <mergeCell ref="M39:Q39"/>
    <mergeCell ref="R39:X39"/>
    <mergeCell ref="A40:L46"/>
    <mergeCell ref="M40:Q46"/>
    <mergeCell ref="R40:X46"/>
    <mergeCell ref="A36:B36"/>
    <mergeCell ref="A37:B37"/>
    <mergeCell ref="C37:L37"/>
    <mergeCell ref="M37:P37"/>
    <mergeCell ref="Q37:X37"/>
    <mergeCell ref="A38:X38"/>
    <mergeCell ref="A39:L39"/>
  </mergeCells>
  <hyperlinks>
    <hyperlink display="➡️" location="null!A1" ref="M11"/>
    <hyperlink display="➡️" location="null!A1" ref="M12"/>
    <hyperlink display="➡️" location="'D1.3 Received Request Record'!A1" ref="M13"/>
    <hyperlink display="➡️" location="'D1.4 Acknowledgement Email'!A1" ref="M14"/>
    <hyperlink display="➡️" location="'D1.5 Meeting Time Proposal'!A1" ref="M15"/>
    <hyperlink display="➡️" location="'D1.6 Calendar Invite &amp; Agenda'!A1" ref="M16"/>
    <hyperlink display="➡️" location="'D1.7 Raw Meeting Notes'!A1" ref="M17"/>
    <hyperlink display="➡️" location="'D1.8 Needs Assessment Notes'!A1" ref="M18"/>
    <hyperlink display="➡️" location="'T3.D1.8a Physical Metrology &amp; M'!A1" ref="M19"/>
    <hyperlink display="➡️" location="'D1.9 Internal Review Request'!A1" ref="M20"/>
    <hyperlink display="➡️" location="'D1.10 Capability Assessment She'!A1" ref="M21"/>
    <hyperlink display="➡️" location="'D1.11 RiskAssessment Sheet'!A1" ref="M22"/>
    <hyperlink display="➡️" location="'D1.12 Feasibility Report'!A1" ref="M23"/>
    <hyperlink display="➡️" location="'D1.13 Draft Scope of Work'!A1" ref="M24"/>
    <hyperlink display="➡️" location="'D1.14 Cost Estimation'!A1" ref="M25"/>
    <hyperlink display="➡️" location="'D1.15 Project Brief &amp; Draft Bud'!A1" ref="M26"/>
    <hyperlink display="➡️" location="'D1.16 Hands Off Meeting'!A1" ref="M27"/>
    <hyperlink display="➡️" location="null!A1" ref="M2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1" t="s">
        <v>0</v>
      </c>
      <c r="B1" s="2"/>
      <c r="C1" s="3"/>
      <c r="D1" s="2"/>
      <c r="E1" s="4" t="s">
        <v>1</v>
      </c>
      <c r="F1" s="2"/>
      <c r="G1" s="3" t="s">
        <v>104</v>
      </c>
      <c r="H1" s="2"/>
      <c r="I1" s="4" t="s">
        <v>2</v>
      </c>
      <c r="J1" s="2"/>
      <c r="K1" s="5"/>
      <c r="L1" s="2"/>
      <c r="M1" s="6" t="s">
        <v>3</v>
      </c>
      <c r="N1" s="2"/>
      <c r="O1" s="7">
        <v>4.0</v>
      </c>
      <c r="P1" s="2"/>
      <c r="Q1" s="4" t="s">
        <v>4</v>
      </c>
      <c r="R1" s="2"/>
      <c r="S1" s="3"/>
      <c r="T1" s="2"/>
      <c r="U1" s="8"/>
      <c r="V1" s="9"/>
      <c r="W1" s="9"/>
      <c r="X1" s="10"/>
    </row>
    <row r="2" ht="15.75" customHeight="1">
      <c r="A2" s="11" t="s">
        <v>5</v>
      </c>
      <c r="B2" s="12"/>
      <c r="C2" s="13"/>
      <c r="D2" s="12"/>
      <c r="E2" s="14" t="s">
        <v>6</v>
      </c>
      <c r="F2" s="12"/>
      <c r="G2" s="13"/>
      <c r="H2" s="12"/>
      <c r="I2" s="14" t="s">
        <v>7</v>
      </c>
      <c r="J2" s="12"/>
      <c r="K2" s="15"/>
      <c r="L2" s="12"/>
      <c r="M2" s="16" t="s">
        <v>8</v>
      </c>
      <c r="N2" s="12"/>
      <c r="O2" s="13" t="s">
        <v>9</v>
      </c>
      <c r="P2" s="12"/>
      <c r="Q2" s="14" t="s">
        <v>10</v>
      </c>
      <c r="R2" s="12"/>
      <c r="S2" s="13" t="s">
        <v>105</v>
      </c>
      <c r="T2" s="12"/>
      <c r="U2" s="17"/>
      <c r="V2" s="18"/>
      <c r="W2" s="18"/>
      <c r="X2" s="19"/>
    </row>
    <row r="3" ht="15.75" customHeight="1">
      <c r="A3" s="11" t="s">
        <v>11</v>
      </c>
      <c r="B3" s="12"/>
      <c r="C3" s="13"/>
      <c r="D3" s="12"/>
      <c r="E3" s="14" t="s">
        <v>12</v>
      </c>
      <c r="F3" s="12"/>
      <c r="G3" s="13"/>
      <c r="H3" s="12"/>
      <c r="I3" s="14" t="s">
        <v>13</v>
      </c>
      <c r="J3" s="12"/>
      <c r="K3" s="20"/>
      <c r="L3" s="12"/>
      <c r="M3" s="16" t="s">
        <v>14</v>
      </c>
      <c r="N3" s="12"/>
      <c r="O3" s="13" t="s">
        <v>15</v>
      </c>
      <c r="P3" s="12"/>
      <c r="Q3" s="14" t="s">
        <v>16</v>
      </c>
      <c r="R3" s="12"/>
      <c r="S3" s="13" t="s">
        <v>106</v>
      </c>
      <c r="T3" s="12"/>
      <c r="U3" s="21" t="s">
        <v>17</v>
      </c>
      <c r="V3" s="22"/>
      <c r="W3" s="22"/>
      <c r="X3" s="23"/>
    </row>
    <row r="4" ht="15.75" customHeight="1">
      <c r="A4" s="11" t="s">
        <v>18</v>
      </c>
      <c r="B4" s="12"/>
      <c r="C4" s="13" t="s">
        <v>107</v>
      </c>
      <c r="D4" s="12"/>
      <c r="E4" s="14" t="s">
        <v>20</v>
      </c>
      <c r="F4" s="12"/>
      <c r="G4" s="13" t="s">
        <v>108</v>
      </c>
      <c r="H4" s="12"/>
      <c r="I4" s="14" t="s">
        <v>21</v>
      </c>
      <c r="J4" s="12"/>
      <c r="K4" s="24"/>
      <c r="L4" s="25"/>
      <c r="M4" s="26" t="s">
        <v>22</v>
      </c>
      <c r="N4" s="27"/>
      <c r="O4" s="28">
        <v>0.0</v>
      </c>
      <c r="P4" s="27"/>
      <c r="Q4" s="14" t="s">
        <v>23</v>
      </c>
      <c r="R4" s="12"/>
      <c r="S4" s="20"/>
      <c r="T4" s="12"/>
      <c r="U4" s="29" t="s">
        <v>24</v>
      </c>
      <c r="V4" s="22"/>
      <c r="W4" s="22"/>
      <c r="X4" s="23"/>
    </row>
    <row r="5" ht="15.75" customHeight="1">
      <c r="A5" s="30" t="s">
        <v>25</v>
      </c>
      <c r="B5" s="27"/>
      <c r="C5" s="31" t="s">
        <v>26</v>
      </c>
      <c r="D5" s="27"/>
      <c r="E5" s="14" t="s">
        <v>27</v>
      </c>
      <c r="F5" s="12"/>
      <c r="G5" s="13" t="s">
        <v>41</v>
      </c>
      <c r="H5" s="12"/>
      <c r="I5" s="14" t="s">
        <v>28</v>
      </c>
      <c r="J5" s="12"/>
      <c r="K5" s="32"/>
      <c r="L5" s="33"/>
      <c r="M5" s="34"/>
      <c r="N5" s="35"/>
      <c r="O5" s="34"/>
      <c r="P5" s="35"/>
      <c r="Q5" s="36" t="s">
        <v>29</v>
      </c>
      <c r="R5" s="27"/>
      <c r="S5" s="37"/>
      <c r="T5" s="27"/>
      <c r="U5" s="38" t="s">
        <v>30</v>
      </c>
      <c r="V5" s="22"/>
      <c r="W5" s="22"/>
      <c r="X5" s="23"/>
    </row>
    <row r="6" ht="15.75" customHeight="1">
      <c r="A6" s="39"/>
      <c r="B6" s="40"/>
      <c r="C6" s="41"/>
      <c r="D6" s="40"/>
      <c r="E6" s="84" t="s">
        <v>31</v>
      </c>
      <c r="F6" s="27"/>
      <c r="G6" s="31"/>
      <c r="H6" s="27"/>
      <c r="I6" s="84" t="s">
        <v>32</v>
      </c>
      <c r="J6" s="27"/>
      <c r="K6" s="37"/>
      <c r="L6" s="27"/>
      <c r="M6" s="41"/>
      <c r="N6" s="40"/>
      <c r="O6" s="41"/>
      <c r="P6" s="40"/>
      <c r="Q6" s="41"/>
      <c r="R6" s="40"/>
      <c r="S6" s="41"/>
      <c r="T6" s="40"/>
      <c r="U6" s="85" t="s">
        <v>33</v>
      </c>
      <c r="V6" s="86"/>
      <c r="W6" s="86"/>
      <c r="X6" s="87"/>
    </row>
    <row r="7" ht="15.75" customHeight="1">
      <c r="A7" s="49" t="s">
        <v>109</v>
      </c>
      <c r="B7" s="50"/>
      <c r="C7" s="50"/>
      <c r="D7" s="50"/>
      <c r="E7" s="50"/>
      <c r="F7" s="50"/>
      <c r="G7" s="50"/>
      <c r="H7" s="50"/>
      <c r="I7" s="50"/>
      <c r="J7" s="50"/>
      <c r="K7" s="50"/>
      <c r="L7" s="50"/>
      <c r="M7" s="50"/>
      <c r="N7" s="50"/>
      <c r="O7" s="50"/>
      <c r="P7" s="50"/>
      <c r="Q7" s="50"/>
      <c r="R7" s="50"/>
      <c r="S7" s="50"/>
      <c r="T7" s="50"/>
      <c r="U7" s="50"/>
      <c r="V7" s="50"/>
      <c r="W7" s="50"/>
      <c r="X7" s="51"/>
    </row>
    <row r="8" ht="15.75" customHeight="1">
      <c r="A8" s="49" t="s">
        <v>110</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111</v>
      </c>
      <c r="B9" s="50"/>
      <c r="C9" s="50"/>
      <c r="D9" s="50"/>
      <c r="E9" s="50"/>
      <c r="F9" s="50"/>
      <c r="G9" s="50"/>
      <c r="H9" s="50"/>
      <c r="I9" s="50"/>
      <c r="J9" s="50"/>
      <c r="K9" s="50"/>
      <c r="L9" s="50"/>
      <c r="M9" s="50"/>
      <c r="N9" s="50"/>
      <c r="O9" s="50"/>
      <c r="P9" s="50"/>
      <c r="Q9" s="50"/>
      <c r="R9" s="50"/>
      <c r="S9" s="50"/>
      <c r="T9" s="50"/>
      <c r="U9" s="50"/>
      <c r="V9" s="50"/>
      <c r="W9" s="50"/>
      <c r="X9" s="51"/>
    </row>
    <row r="10" ht="15.75" customHeight="1">
      <c r="A10" s="88" t="s">
        <v>112</v>
      </c>
      <c r="B10" s="53" t="s">
        <v>113</v>
      </c>
      <c r="C10" s="50"/>
      <c r="D10" s="50"/>
      <c r="E10" s="50"/>
      <c r="F10" s="50"/>
      <c r="G10" s="51"/>
      <c r="H10" s="53" t="s">
        <v>114</v>
      </c>
      <c r="I10" s="50"/>
      <c r="J10" s="51"/>
      <c r="K10" s="53" t="s">
        <v>115</v>
      </c>
      <c r="L10" s="50"/>
      <c r="M10" s="50"/>
      <c r="N10" s="51"/>
      <c r="O10" s="53" t="s">
        <v>116</v>
      </c>
      <c r="P10" s="50"/>
      <c r="Q10" s="50"/>
      <c r="R10" s="51"/>
      <c r="S10" s="53" t="s">
        <v>117</v>
      </c>
      <c r="T10" s="51"/>
      <c r="U10" s="53" t="s">
        <v>118</v>
      </c>
      <c r="V10" s="50"/>
      <c r="W10" s="50"/>
      <c r="X10" s="51"/>
    </row>
    <row r="11" ht="15.75" customHeight="1">
      <c r="A11" s="89">
        <v>1.0</v>
      </c>
      <c r="B11" s="90" t="s">
        <v>119</v>
      </c>
      <c r="C11" s="91"/>
      <c r="D11" s="91"/>
      <c r="E11" s="91"/>
      <c r="F11" s="91"/>
      <c r="G11" s="2"/>
      <c r="H11" s="90"/>
      <c r="I11" s="91"/>
      <c r="J11" s="2"/>
      <c r="K11" s="90"/>
      <c r="L11" s="91"/>
      <c r="M11" s="91"/>
      <c r="N11" s="2"/>
      <c r="O11" s="90"/>
      <c r="P11" s="91"/>
      <c r="Q11" s="91"/>
      <c r="R11" s="2"/>
      <c r="S11" s="90"/>
      <c r="T11" s="2"/>
      <c r="U11" s="90"/>
      <c r="V11" s="91"/>
      <c r="W11" s="91"/>
      <c r="X11" s="92"/>
    </row>
    <row r="12" ht="15.75" customHeight="1">
      <c r="A12" s="93">
        <v>2.0</v>
      </c>
      <c r="B12" s="94" t="s">
        <v>120</v>
      </c>
      <c r="C12" s="22"/>
      <c r="D12" s="22"/>
      <c r="E12" s="22"/>
      <c r="F12" s="22"/>
      <c r="G12" s="12"/>
      <c r="H12" s="95">
        <v>46117.0</v>
      </c>
      <c r="I12" s="22"/>
      <c r="J12" s="12"/>
      <c r="K12" s="94" t="s">
        <v>121</v>
      </c>
      <c r="L12" s="22"/>
      <c r="M12" s="22"/>
      <c r="N12" s="12"/>
      <c r="O12" s="94"/>
      <c r="P12" s="22"/>
      <c r="Q12" s="22"/>
      <c r="R12" s="12"/>
      <c r="S12" s="94" t="s">
        <v>122</v>
      </c>
      <c r="T12" s="12"/>
      <c r="U12" s="96" t="s">
        <v>123</v>
      </c>
      <c r="V12" s="22"/>
      <c r="W12" s="22"/>
      <c r="X12" s="23"/>
    </row>
    <row r="13" ht="15.75" customHeight="1">
      <c r="A13" s="93">
        <v>3.0</v>
      </c>
      <c r="B13" s="94" t="s">
        <v>124</v>
      </c>
      <c r="C13" s="22"/>
      <c r="D13" s="22"/>
      <c r="E13" s="22"/>
      <c r="F13" s="22"/>
      <c r="G13" s="12"/>
      <c r="H13" s="94"/>
      <c r="I13" s="22"/>
      <c r="J13" s="12"/>
      <c r="K13" s="94"/>
      <c r="L13" s="22"/>
      <c r="M13" s="22"/>
      <c r="N13" s="12"/>
      <c r="O13" s="94"/>
      <c r="P13" s="22"/>
      <c r="Q13" s="22"/>
      <c r="R13" s="12"/>
      <c r="S13" s="94"/>
      <c r="T13" s="12"/>
      <c r="U13" s="94"/>
      <c r="V13" s="22"/>
      <c r="W13" s="22"/>
      <c r="X13" s="23"/>
    </row>
    <row r="14" ht="15.75" customHeight="1">
      <c r="A14" s="93">
        <v>4.0</v>
      </c>
      <c r="B14" s="94" t="s">
        <v>125</v>
      </c>
      <c r="C14" s="22"/>
      <c r="D14" s="22"/>
      <c r="E14" s="22"/>
      <c r="F14" s="22"/>
      <c r="G14" s="12"/>
      <c r="H14" s="94"/>
      <c r="I14" s="22"/>
      <c r="J14" s="12"/>
      <c r="K14" s="94"/>
      <c r="L14" s="22"/>
      <c r="M14" s="22"/>
      <c r="N14" s="12"/>
      <c r="O14" s="94"/>
      <c r="P14" s="22"/>
      <c r="Q14" s="22"/>
      <c r="R14" s="12"/>
      <c r="S14" s="94"/>
      <c r="T14" s="12"/>
      <c r="U14" s="94"/>
      <c r="V14" s="22"/>
      <c r="W14" s="22"/>
      <c r="X14" s="23"/>
    </row>
    <row r="15" ht="15.75" customHeight="1">
      <c r="A15" s="97">
        <v>5.0</v>
      </c>
      <c r="B15" s="98" t="s">
        <v>126</v>
      </c>
      <c r="C15" s="47"/>
      <c r="D15" s="47"/>
      <c r="E15" s="47"/>
      <c r="F15" s="47"/>
      <c r="G15" s="43"/>
      <c r="H15" s="98"/>
      <c r="I15" s="47"/>
      <c r="J15" s="43"/>
      <c r="K15" s="98"/>
      <c r="L15" s="47"/>
      <c r="M15" s="47"/>
      <c r="N15" s="43"/>
      <c r="O15" s="98"/>
      <c r="P15" s="47"/>
      <c r="Q15" s="47"/>
      <c r="R15" s="43"/>
      <c r="S15" s="98"/>
      <c r="T15" s="43"/>
      <c r="U15" s="98"/>
      <c r="V15" s="47"/>
      <c r="W15" s="47"/>
      <c r="X15" s="48"/>
    </row>
    <row r="16" ht="15.75" customHeight="1">
      <c r="A16" s="49"/>
      <c r="B16" s="50"/>
      <c r="C16" s="50"/>
      <c r="D16" s="50"/>
      <c r="E16" s="50"/>
      <c r="F16" s="50"/>
      <c r="G16" s="50"/>
      <c r="H16" s="50"/>
      <c r="I16" s="50"/>
      <c r="J16" s="50"/>
      <c r="K16" s="50"/>
      <c r="L16" s="50"/>
      <c r="M16" s="50"/>
      <c r="N16" s="50"/>
      <c r="O16" s="50"/>
      <c r="P16" s="50"/>
      <c r="Q16" s="50"/>
      <c r="R16" s="50"/>
      <c r="S16" s="50"/>
      <c r="T16" s="50"/>
      <c r="U16" s="50"/>
      <c r="V16" s="50"/>
      <c r="W16" s="50"/>
      <c r="X16" s="51"/>
    </row>
    <row r="17" ht="15.75" customHeight="1">
      <c r="A17" s="49" t="s">
        <v>127</v>
      </c>
      <c r="B17" s="50"/>
      <c r="C17" s="50"/>
      <c r="D17" s="50"/>
      <c r="E17" s="50"/>
      <c r="F17" s="50"/>
      <c r="G17" s="50"/>
      <c r="H17" s="50"/>
      <c r="I17" s="50"/>
      <c r="J17" s="50"/>
      <c r="K17" s="50"/>
      <c r="L17" s="50"/>
      <c r="M17" s="50"/>
      <c r="N17" s="50"/>
      <c r="O17" s="50"/>
      <c r="P17" s="50"/>
      <c r="Q17" s="50"/>
      <c r="R17" s="50"/>
      <c r="S17" s="50"/>
      <c r="T17" s="50"/>
      <c r="U17" s="50"/>
      <c r="V17" s="50"/>
      <c r="W17" s="50"/>
      <c r="X17" s="51"/>
    </row>
    <row r="18" ht="15.75" customHeight="1">
      <c r="A18" s="99" t="s">
        <v>112</v>
      </c>
      <c r="B18" s="100" t="s">
        <v>128</v>
      </c>
      <c r="C18" s="9"/>
      <c r="D18" s="9"/>
      <c r="E18" s="9"/>
      <c r="F18" s="9"/>
      <c r="G18" s="10"/>
      <c r="H18" s="100" t="s">
        <v>129</v>
      </c>
      <c r="I18" s="9"/>
      <c r="J18" s="10"/>
      <c r="K18" s="100" t="s">
        <v>130</v>
      </c>
      <c r="L18" s="9"/>
      <c r="M18" s="9"/>
      <c r="N18" s="10"/>
      <c r="O18" s="100" t="s">
        <v>131</v>
      </c>
      <c r="P18" s="9"/>
      <c r="Q18" s="9"/>
      <c r="R18" s="10"/>
      <c r="S18" s="100" t="s">
        <v>117</v>
      </c>
      <c r="T18" s="10"/>
      <c r="U18" s="100" t="s">
        <v>132</v>
      </c>
      <c r="V18" s="9"/>
      <c r="W18" s="9"/>
      <c r="X18" s="10"/>
    </row>
    <row r="19" ht="15.75" customHeight="1">
      <c r="A19" s="89"/>
      <c r="B19" s="90"/>
      <c r="C19" s="91"/>
      <c r="D19" s="91"/>
      <c r="E19" s="91"/>
      <c r="F19" s="91"/>
      <c r="G19" s="2"/>
      <c r="H19" s="90"/>
      <c r="I19" s="91"/>
      <c r="J19" s="2"/>
      <c r="K19" s="90"/>
      <c r="L19" s="91"/>
      <c r="M19" s="91"/>
      <c r="N19" s="2"/>
      <c r="O19" s="90"/>
      <c r="P19" s="91"/>
      <c r="Q19" s="91"/>
      <c r="R19" s="2"/>
      <c r="S19" s="90"/>
      <c r="T19" s="2"/>
      <c r="U19" s="90"/>
      <c r="V19" s="91"/>
      <c r="W19" s="91"/>
      <c r="X19" s="92"/>
    </row>
    <row r="20" ht="15.75" customHeight="1">
      <c r="A20" s="93"/>
      <c r="B20" s="94"/>
      <c r="C20" s="22"/>
      <c r="D20" s="22"/>
      <c r="E20" s="22"/>
      <c r="F20" s="22"/>
      <c r="G20" s="12"/>
      <c r="H20" s="94"/>
      <c r="I20" s="22"/>
      <c r="J20" s="12"/>
      <c r="K20" s="94"/>
      <c r="L20" s="22"/>
      <c r="M20" s="22"/>
      <c r="N20" s="12"/>
      <c r="O20" s="94"/>
      <c r="P20" s="22"/>
      <c r="Q20" s="22"/>
      <c r="R20" s="12"/>
      <c r="S20" s="94"/>
      <c r="T20" s="12"/>
      <c r="U20" s="94"/>
      <c r="V20" s="22"/>
      <c r="W20" s="22"/>
      <c r="X20" s="23"/>
    </row>
    <row r="21" ht="15.75" customHeight="1">
      <c r="A21" s="93"/>
      <c r="B21" s="94"/>
      <c r="C21" s="22"/>
      <c r="D21" s="22"/>
      <c r="E21" s="22"/>
      <c r="F21" s="22"/>
      <c r="G21" s="12"/>
      <c r="H21" s="94"/>
      <c r="I21" s="22"/>
      <c r="J21" s="12"/>
      <c r="K21" s="94"/>
      <c r="L21" s="22"/>
      <c r="M21" s="22"/>
      <c r="N21" s="12"/>
      <c r="O21" s="94"/>
      <c r="P21" s="22"/>
      <c r="Q21" s="22"/>
      <c r="R21" s="12"/>
      <c r="S21" s="94"/>
      <c r="T21" s="12"/>
      <c r="U21" s="94"/>
      <c r="V21" s="22"/>
      <c r="W21" s="22"/>
      <c r="X21" s="23"/>
    </row>
    <row r="22" ht="15.75" customHeight="1">
      <c r="A22" s="93"/>
      <c r="B22" s="94"/>
      <c r="C22" s="22"/>
      <c r="D22" s="22"/>
      <c r="E22" s="22"/>
      <c r="F22" s="22"/>
      <c r="G22" s="12"/>
      <c r="H22" s="94"/>
      <c r="I22" s="22"/>
      <c r="J22" s="12"/>
      <c r="K22" s="94"/>
      <c r="L22" s="22"/>
      <c r="M22" s="22"/>
      <c r="N22" s="12"/>
      <c r="O22" s="94"/>
      <c r="P22" s="22"/>
      <c r="Q22" s="22"/>
      <c r="R22" s="12"/>
      <c r="S22" s="94"/>
      <c r="T22" s="12"/>
      <c r="U22" s="94"/>
      <c r="V22" s="22"/>
      <c r="W22" s="22"/>
      <c r="X22" s="23"/>
    </row>
    <row r="23" ht="15.75" customHeight="1">
      <c r="A23" s="93"/>
      <c r="B23" s="94"/>
      <c r="C23" s="22"/>
      <c r="D23" s="22"/>
      <c r="E23" s="22"/>
      <c r="F23" s="22"/>
      <c r="G23" s="12"/>
      <c r="H23" s="94"/>
      <c r="I23" s="22"/>
      <c r="J23" s="12"/>
      <c r="K23" s="94"/>
      <c r="L23" s="22"/>
      <c r="M23" s="22"/>
      <c r="N23" s="12"/>
      <c r="O23" s="94"/>
      <c r="P23" s="22"/>
      <c r="Q23" s="22"/>
      <c r="R23" s="12"/>
      <c r="S23" s="94"/>
      <c r="T23" s="12"/>
      <c r="U23" s="94"/>
      <c r="V23" s="22"/>
      <c r="W23" s="22"/>
      <c r="X23" s="23"/>
    </row>
    <row r="24" ht="15.75" customHeight="1">
      <c r="A24" s="93"/>
      <c r="B24" s="94"/>
      <c r="C24" s="22"/>
      <c r="D24" s="22"/>
      <c r="E24" s="22"/>
      <c r="F24" s="22"/>
      <c r="G24" s="12"/>
      <c r="H24" s="94"/>
      <c r="I24" s="22"/>
      <c r="J24" s="12"/>
      <c r="K24" s="94"/>
      <c r="L24" s="22"/>
      <c r="M24" s="22"/>
      <c r="N24" s="12"/>
      <c r="O24" s="94"/>
      <c r="P24" s="22"/>
      <c r="Q24" s="22"/>
      <c r="R24" s="12"/>
      <c r="S24" s="94"/>
      <c r="T24" s="12"/>
      <c r="U24" s="94"/>
      <c r="V24" s="22"/>
      <c r="W24" s="22"/>
      <c r="X24" s="23"/>
    </row>
    <row r="25" ht="15.75" customHeight="1">
      <c r="A25" s="93"/>
      <c r="B25" s="94"/>
      <c r="C25" s="22"/>
      <c r="D25" s="22"/>
      <c r="E25" s="22"/>
      <c r="F25" s="22"/>
      <c r="G25" s="12"/>
      <c r="H25" s="94"/>
      <c r="I25" s="22"/>
      <c r="J25" s="12"/>
      <c r="K25" s="94"/>
      <c r="L25" s="22"/>
      <c r="M25" s="22"/>
      <c r="N25" s="12"/>
      <c r="O25" s="94"/>
      <c r="P25" s="22"/>
      <c r="Q25" s="22"/>
      <c r="R25" s="12"/>
      <c r="S25" s="94"/>
      <c r="T25" s="12"/>
      <c r="U25" s="94"/>
      <c r="V25" s="22"/>
      <c r="W25" s="22"/>
      <c r="X25" s="23"/>
    </row>
    <row r="26" ht="15.75" customHeight="1">
      <c r="A26" s="93"/>
      <c r="B26" s="94"/>
      <c r="C26" s="22"/>
      <c r="D26" s="22"/>
      <c r="E26" s="22"/>
      <c r="F26" s="22"/>
      <c r="G26" s="12"/>
      <c r="H26" s="94"/>
      <c r="I26" s="22"/>
      <c r="J26" s="12"/>
      <c r="K26" s="94"/>
      <c r="L26" s="22"/>
      <c r="M26" s="22"/>
      <c r="N26" s="12"/>
      <c r="O26" s="94"/>
      <c r="P26" s="22"/>
      <c r="Q26" s="22"/>
      <c r="R26" s="12"/>
      <c r="S26" s="94"/>
      <c r="T26" s="12"/>
      <c r="U26" s="94"/>
      <c r="V26" s="22"/>
      <c r="W26" s="22"/>
      <c r="X26" s="23"/>
    </row>
    <row r="27" ht="15.75" customHeight="1">
      <c r="A27" s="93"/>
      <c r="B27" s="94"/>
      <c r="C27" s="22"/>
      <c r="D27" s="22"/>
      <c r="E27" s="22"/>
      <c r="F27" s="22"/>
      <c r="G27" s="12"/>
      <c r="H27" s="94"/>
      <c r="I27" s="22"/>
      <c r="J27" s="12"/>
      <c r="K27" s="94"/>
      <c r="L27" s="22"/>
      <c r="M27" s="22"/>
      <c r="N27" s="12"/>
      <c r="O27" s="94"/>
      <c r="P27" s="22"/>
      <c r="Q27" s="22"/>
      <c r="R27" s="12"/>
      <c r="S27" s="94"/>
      <c r="T27" s="12"/>
      <c r="U27" s="94"/>
      <c r="V27" s="22"/>
      <c r="W27" s="22"/>
      <c r="X27" s="23"/>
    </row>
    <row r="28" ht="15.75" customHeight="1">
      <c r="A28" s="93"/>
      <c r="B28" s="94"/>
      <c r="C28" s="22"/>
      <c r="D28" s="22"/>
      <c r="E28" s="22"/>
      <c r="F28" s="22"/>
      <c r="G28" s="12"/>
      <c r="H28" s="94"/>
      <c r="I28" s="22"/>
      <c r="J28" s="12"/>
      <c r="K28" s="94"/>
      <c r="L28" s="22"/>
      <c r="M28" s="22"/>
      <c r="N28" s="12"/>
      <c r="O28" s="94"/>
      <c r="P28" s="22"/>
      <c r="Q28" s="22"/>
      <c r="R28" s="12"/>
      <c r="S28" s="94"/>
      <c r="T28" s="12"/>
      <c r="U28" s="94"/>
      <c r="V28" s="22"/>
      <c r="W28" s="22"/>
      <c r="X28" s="23"/>
    </row>
    <row r="29" ht="15.75" customHeight="1">
      <c r="A29" s="93"/>
      <c r="B29" s="94"/>
      <c r="C29" s="22"/>
      <c r="D29" s="22"/>
      <c r="E29" s="22"/>
      <c r="F29" s="22"/>
      <c r="G29" s="12"/>
      <c r="H29" s="94"/>
      <c r="I29" s="22"/>
      <c r="J29" s="12"/>
      <c r="K29" s="94"/>
      <c r="L29" s="22"/>
      <c r="M29" s="22"/>
      <c r="N29" s="12"/>
      <c r="O29" s="94"/>
      <c r="P29" s="22"/>
      <c r="Q29" s="22"/>
      <c r="R29" s="12"/>
      <c r="S29" s="94"/>
      <c r="T29" s="12"/>
      <c r="U29" s="94"/>
      <c r="V29" s="22"/>
      <c r="W29" s="22"/>
      <c r="X29" s="23"/>
    </row>
    <row r="30" ht="15.75" customHeight="1">
      <c r="A30" s="93"/>
      <c r="B30" s="94"/>
      <c r="C30" s="22"/>
      <c r="D30" s="22"/>
      <c r="E30" s="22"/>
      <c r="F30" s="22"/>
      <c r="G30" s="12"/>
      <c r="H30" s="94"/>
      <c r="I30" s="22"/>
      <c r="J30" s="12"/>
      <c r="K30" s="94"/>
      <c r="L30" s="22"/>
      <c r="M30" s="22"/>
      <c r="N30" s="12"/>
      <c r="O30" s="94"/>
      <c r="P30" s="22"/>
      <c r="Q30" s="22"/>
      <c r="R30" s="12"/>
      <c r="S30" s="94"/>
      <c r="T30" s="12"/>
      <c r="U30" s="94"/>
      <c r="V30" s="22"/>
      <c r="W30" s="22"/>
      <c r="X30" s="23"/>
    </row>
    <row r="31" ht="15.75" customHeight="1">
      <c r="A31" s="93"/>
      <c r="B31" s="94"/>
      <c r="C31" s="22"/>
      <c r="D31" s="22"/>
      <c r="E31" s="22"/>
      <c r="F31" s="22"/>
      <c r="G31" s="12"/>
      <c r="H31" s="94"/>
      <c r="I31" s="22"/>
      <c r="J31" s="12"/>
      <c r="K31" s="94"/>
      <c r="L31" s="22"/>
      <c r="M31" s="22"/>
      <c r="N31" s="12"/>
      <c r="O31" s="94"/>
      <c r="P31" s="22"/>
      <c r="Q31" s="22"/>
      <c r="R31" s="12"/>
      <c r="S31" s="94"/>
      <c r="T31" s="12"/>
      <c r="U31" s="94"/>
      <c r="V31" s="22"/>
      <c r="W31" s="22"/>
      <c r="X31" s="23"/>
    </row>
    <row r="32" ht="15.75" customHeight="1">
      <c r="A32" s="93"/>
      <c r="B32" s="94"/>
      <c r="C32" s="22"/>
      <c r="D32" s="22"/>
      <c r="E32" s="22"/>
      <c r="F32" s="22"/>
      <c r="G32" s="12"/>
      <c r="H32" s="94"/>
      <c r="I32" s="22"/>
      <c r="J32" s="12"/>
      <c r="K32" s="94"/>
      <c r="L32" s="22"/>
      <c r="M32" s="22"/>
      <c r="N32" s="12"/>
      <c r="O32" s="94"/>
      <c r="P32" s="22"/>
      <c r="Q32" s="22"/>
      <c r="R32" s="12"/>
      <c r="S32" s="94"/>
      <c r="T32" s="12"/>
      <c r="U32" s="94"/>
      <c r="V32" s="22"/>
      <c r="W32" s="22"/>
      <c r="X32" s="23"/>
    </row>
    <row r="33" ht="15.75" customHeight="1">
      <c r="A33" s="97"/>
      <c r="B33" s="98"/>
      <c r="C33" s="47"/>
      <c r="D33" s="47"/>
      <c r="E33" s="47"/>
      <c r="F33" s="47"/>
      <c r="G33" s="43"/>
      <c r="H33" s="98"/>
      <c r="I33" s="47"/>
      <c r="J33" s="43"/>
      <c r="K33" s="98"/>
      <c r="L33" s="47"/>
      <c r="M33" s="47"/>
      <c r="N33" s="43"/>
      <c r="O33" s="98"/>
      <c r="P33" s="47"/>
      <c r="Q33" s="47"/>
      <c r="R33" s="43"/>
      <c r="S33" s="98"/>
      <c r="T33" s="43"/>
      <c r="U33" s="98"/>
      <c r="V33" s="47"/>
      <c r="W33" s="47"/>
      <c r="X33" s="48"/>
    </row>
    <row r="34" ht="15.75" customHeight="1">
      <c r="A34" s="75"/>
      <c r="B34" s="50"/>
      <c r="C34" s="50"/>
      <c r="D34" s="50"/>
      <c r="E34" s="50"/>
      <c r="F34" s="50"/>
      <c r="G34" s="50"/>
      <c r="H34" s="50"/>
      <c r="I34" s="50"/>
      <c r="J34" s="50"/>
      <c r="K34" s="50"/>
      <c r="L34" s="50"/>
      <c r="M34" s="50"/>
      <c r="N34" s="50"/>
      <c r="O34" s="50"/>
      <c r="P34" s="50"/>
      <c r="Q34" s="50"/>
      <c r="R34" s="50"/>
      <c r="S34" s="50"/>
      <c r="T34" s="50"/>
      <c r="U34" s="50"/>
      <c r="V34" s="50"/>
      <c r="W34" s="50"/>
      <c r="X34" s="51"/>
    </row>
    <row r="35" ht="15.75" customHeight="1">
      <c r="A35" s="53" t="s">
        <v>101</v>
      </c>
      <c r="B35" s="50"/>
      <c r="C35" s="50"/>
      <c r="D35" s="50"/>
      <c r="E35" s="50"/>
      <c r="F35" s="50"/>
      <c r="G35" s="50"/>
      <c r="H35" s="50"/>
      <c r="I35" s="50"/>
      <c r="J35" s="50"/>
      <c r="K35" s="50"/>
      <c r="L35" s="51"/>
      <c r="M35" s="76" t="s">
        <v>102</v>
      </c>
      <c r="N35" s="50"/>
      <c r="O35" s="50"/>
      <c r="P35" s="50"/>
      <c r="Q35" s="51"/>
      <c r="R35" s="75"/>
      <c r="S35" s="50"/>
      <c r="T35" s="50"/>
      <c r="U35" s="50"/>
      <c r="V35" s="50"/>
      <c r="W35" s="50"/>
      <c r="X35" s="51"/>
    </row>
    <row r="36" ht="15.75" customHeight="1">
      <c r="A36" s="77"/>
      <c r="B36" s="9"/>
      <c r="C36" s="9"/>
      <c r="D36" s="9"/>
      <c r="E36" s="9"/>
      <c r="F36" s="9"/>
      <c r="G36" s="9"/>
      <c r="H36" s="9"/>
      <c r="I36" s="9"/>
      <c r="J36" s="9"/>
      <c r="K36" s="9"/>
      <c r="L36" s="10"/>
      <c r="M36" s="78" t="s">
        <v>103</v>
      </c>
      <c r="N36" s="9"/>
      <c r="O36" s="9"/>
      <c r="P36" s="9"/>
      <c r="Q36" s="10"/>
      <c r="R36" s="77"/>
      <c r="S36" s="9"/>
      <c r="T36" s="9"/>
      <c r="U36" s="9"/>
      <c r="V36" s="9"/>
      <c r="W36" s="9"/>
      <c r="X36" s="10"/>
    </row>
    <row r="37" ht="15.75" customHeight="1">
      <c r="A37" s="79"/>
      <c r="L37" s="80"/>
      <c r="M37" s="79"/>
      <c r="Q37" s="80"/>
      <c r="R37" s="79"/>
      <c r="X37" s="80"/>
    </row>
    <row r="38" ht="15.75" customHeight="1">
      <c r="A38" s="79"/>
      <c r="L38" s="80"/>
      <c r="M38" s="79"/>
      <c r="Q38" s="80"/>
      <c r="R38" s="79"/>
      <c r="X38" s="80"/>
    </row>
    <row r="39" ht="15.75" customHeight="1">
      <c r="A39" s="79"/>
      <c r="L39" s="80"/>
      <c r="M39" s="79"/>
      <c r="Q39" s="80"/>
      <c r="R39" s="79"/>
      <c r="X39" s="80"/>
    </row>
    <row r="40" ht="15.75" customHeight="1">
      <c r="A40" s="79"/>
      <c r="L40" s="80"/>
      <c r="M40" s="79"/>
      <c r="Q40" s="80"/>
      <c r="R40" s="79"/>
      <c r="X40" s="80"/>
    </row>
    <row r="41" ht="15.75" customHeight="1">
      <c r="A41" s="79"/>
      <c r="L41" s="80"/>
      <c r="M41" s="79"/>
      <c r="Q41" s="80"/>
      <c r="R41" s="79"/>
      <c r="X41" s="80"/>
    </row>
    <row r="42" ht="15.75" customHeight="1">
      <c r="A42" s="39"/>
      <c r="B42" s="81"/>
      <c r="C42" s="81"/>
      <c r="D42" s="81"/>
      <c r="E42" s="81"/>
      <c r="F42" s="81"/>
      <c r="G42" s="81"/>
      <c r="H42" s="81"/>
      <c r="I42" s="81"/>
      <c r="J42" s="81"/>
      <c r="K42" s="81"/>
      <c r="L42" s="82"/>
      <c r="M42" s="39"/>
      <c r="N42" s="81"/>
      <c r="O42" s="81"/>
      <c r="P42" s="81"/>
      <c r="Q42" s="82"/>
      <c r="R42" s="39"/>
      <c r="S42" s="81"/>
      <c r="T42" s="81"/>
      <c r="U42" s="81"/>
      <c r="V42" s="81"/>
      <c r="W42" s="81"/>
      <c r="X42" s="82"/>
    </row>
    <row r="43" ht="15.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row>
    <row r="44" ht="15.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row>
    <row r="45" ht="15.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row>
    <row r="46" ht="15.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row>
    <row r="47" ht="15.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1">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K10:N10"/>
    <mergeCell ref="O10:R10"/>
    <mergeCell ref="E5:F5"/>
    <mergeCell ref="G5:H5"/>
    <mergeCell ref="A7:X7"/>
    <mergeCell ref="A8:X8"/>
    <mergeCell ref="A9:X9"/>
    <mergeCell ref="B10:G10"/>
    <mergeCell ref="H10:J10"/>
    <mergeCell ref="S10:T10"/>
    <mergeCell ref="U10:X10"/>
    <mergeCell ref="H11:J11"/>
    <mergeCell ref="K11:N11"/>
    <mergeCell ref="O11:R11"/>
    <mergeCell ref="S11:T11"/>
    <mergeCell ref="U11:X11"/>
    <mergeCell ref="B11:G11"/>
    <mergeCell ref="B12:G12"/>
    <mergeCell ref="H12:J12"/>
    <mergeCell ref="K12:N12"/>
    <mergeCell ref="O12:R12"/>
    <mergeCell ref="S12:T12"/>
    <mergeCell ref="U12:X12"/>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O14:R14"/>
    <mergeCell ref="S14:T14"/>
    <mergeCell ref="H20:J20"/>
    <mergeCell ref="K20:N20"/>
    <mergeCell ref="B21:G21"/>
    <mergeCell ref="H21:J21"/>
    <mergeCell ref="K21:N21"/>
    <mergeCell ref="H22:J22"/>
    <mergeCell ref="K22:N22"/>
    <mergeCell ref="B22:G22"/>
    <mergeCell ref="B23:G23"/>
    <mergeCell ref="H23:J23"/>
    <mergeCell ref="K23:N23"/>
    <mergeCell ref="O23:R23"/>
    <mergeCell ref="S23:T23"/>
    <mergeCell ref="U23:X23"/>
    <mergeCell ref="B13:G13"/>
    <mergeCell ref="H13:J13"/>
    <mergeCell ref="K13:N13"/>
    <mergeCell ref="O13:R13"/>
    <mergeCell ref="S13:T13"/>
    <mergeCell ref="U13:X13"/>
    <mergeCell ref="B14:G14"/>
    <mergeCell ref="U14:X14"/>
    <mergeCell ref="H14:J14"/>
    <mergeCell ref="K14:N14"/>
    <mergeCell ref="H15:J15"/>
    <mergeCell ref="K15:N15"/>
    <mergeCell ref="O15:R15"/>
    <mergeCell ref="S15:T15"/>
    <mergeCell ref="U15:X15"/>
    <mergeCell ref="S18:T18"/>
    <mergeCell ref="U18:X18"/>
    <mergeCell ref="B15:G15"/>
    <mergeCell ref="A16:X16"/>
    <mergeCell ref="A17:X17"/>
    <mergeCell ref="B18:G18"/>
    <mergeCell ref="H18:J18"/>
    <mergeCell ref="K18:N18"/>
    <mergeCell ref="O18:R18"/>
    <mergeCell ref="O20:R20"/>
    <mergeCell ref="S20:T20"/>
    <mergeCell ref="O21:R21"/>
    <mergeCell ref="S21:T21"/>
    <mergeCell ref="U21:X21"/>
    <mergeCell ref="O22:R22"/>
    <mergeCell ref="S22:T22"/>
    <mergeCell ref="U22:X22"/>
    <mergeCell ref="B19:G19"/>
    <mergeCell ref="H19:J19"/>
    <mergeCell ref="K19:N19"/>
    <mergeCell ref="O19:R19"/>
    <mergeCell ref="S19:T19"/>
    <mergeCell ref="U19:X19"/>
    <mergeCell ref="B20:G20"/>
    <mergeCell ref="U20:X20"/>
    <mergeCell ref="O25:R25"/>
    <mergeCell ref="S25:T25"/>
    <mergeCell ref="B31:G31"/>
    <mergeCell ref="B32:G32"/>
    <mergeCell ref="H32:J32"/>
    <mergeCell ref="K32:N32"/>
    <mergeCell ref="O32:R32"/>
    <mergeCell ref="S32:T32"/>
    <mergeCell ref="U32:X32"/>
    <mergeCell ref="B33:G33"/>
    <mergeCell ref="H33:J33"/>
    <mergeCell ref="K33:N33"/>
    <mergeCell ref="O33:R33"/>
    <mergeCell ref="S33:T33"/>
    <mergeCell ref="U33:X33"/>
    <mergeCell ref="A34:X34"/>
    <mergeCell ref="B24:G24"/>
    <mergeCell ref="H24:J24"/>
    <mergeCell ref="K24:N24"/>
    <mergeCell ref="O24:R24"/>
    <mergeCell ref="S24:T24"/>
    <mergeCell ref="U24:X24"/>
    <mergeCell ref="B25:G25"/>
    <mergeCell ref="U25:X25"/>
    <mergeCell ref="H25:J25"/>
    <mergeCell ref="K25:N25"/>
    <mergeCell ref="H26:J26"/>
    <mergeCell ref="K26:N26"/>
    <mergeCell ref="O26:R26"/>
    <mergeCell ref="S26:T26"/>
    <mergeCell ref="U26:X26"/>
    <mergeCell ref="B26:G26"/>
    <mergeCell ref="B27:G27"/>
    <mergeCell ref="H27:J27"/>
    <mergeCell ref="K27:N27"/>
    <mergeCell ref="O27:R27"/>
    <mergeCell ref="S27:T27"/>
    <mergeCell ref="U27:X27"/>
    <mergeCell ref="O29:R29"/>
    <mergeCell ref="S29:T29"/>
    <mergeCell ref="O30:R30"/>
    <mergeCell ref="S30:T30"/>
    <mergeCell ref="U30:X30"/>
    <mergeCell ref="O31:R31"/>
    <mergeCell ref="S31:T31"/>
    <mergeCell ref="U31:X31"/>
    <mergeCell ref="B28:G28"/>
    <mergeCell ref="H28:J28"/>
    <mergeCell ref="K28:N28"/>
    <mergeCell ref="O28:R28"/>
    <mergeCell ref="S28:T28"/>
    <mergeCell ref="U28:X28"/>
    <mergeCell ref="B29:G29"/>
    <mergeCell ref="U29:X29"/>
    <mergeCell ref="A35:L35"/>
    <mergeCell ref="M35:Q35"/>
    <mergeCell ref="R35:X35"/>
    <mergeCell ref="A36:L42"/>
    <mergeCell ref="M36:Q42"/>
    <mergeCell ref="R36:X42"/>
    <mergeCell ref="H29:J29"/>
    <mergeCell ref="K29:N29"/>
    <mergeCell ref="B30:G30"/>
    <mergeCell ref="H30:J30"/>
    <mergeCell ref="K30:N30"/>
    <mergeCell ref="H31:J31"/>
    <mergeCell ref="K31:N3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1" t="s">
        <v>0</v>
      </c>
      <c r="B1" s="2"/>
      <c r="C1" s="3" t="s">
        <v>133</v>
      </c>
      <c r="D1" s="2"/>
      <c r="E1" s="4" t="s">
        <v>1</v>
      </c>
      <c r="F1" s="2"/>
      <c r="G1" s="3" t="s">
        <v>46</v>
      </c>
      <c r="H1" s="2"/>
      <c r="I1" s="4" t="s">
        <v>2</v>
      </c>
      <c r="J1" s="2"/>
      <c r="K1" s="5">
        <v>46117.0</v>
      </c>
      <c r="L1" s="2"/>
      <c r="M1" s="6" t="s">
        <v>3</v>
      </c>
      <c r="N1" s="2"/>
      <c r="O1" s="7">
        <v>4.0</v>
      </c>
      <c r="P1" s="2"/>
      <c r="Q1" s="4" t="s">
        <v>4</v>
      </c>
      <c r="R1" s="2"/>
      <c r="S1" s="3"/>
      <c r="T1" s="2"/>
      <c r="U1" s="8"/>
      <c r="V1" s="9"/>
      <c r="W1" s="9"/>
      <c r="X1" s="10"/>
    </row>
    <row r="2" ht="15.75" customHeight="1">
      <c r="A2" s="11" t="s">
        <v>5</v>
      </c>
      <c r="B2" s="12"/>
      <c r="C2" s="13" t="s">
        <v>134</v>
      </c>
      <c r="D2" s="12"/>
      <c r="E2" s="14" t="s">
        <v>6</v>
      </c>
      <c r="F2" s="12"/>
      <c r="G2" s="13"/>
      <c r="H2" s="12"/>
      <c r="I2" s="14" t="s">
        <v>7</v>
      </c>
      <c r="J2" s="12"/>
      <c r="K2" s="15">
        <v>0.5833333333333334</v>
      </c>
      <c r="L2" s="12"/>
      <c r="M2" s="16" t="s">
        <v>8</v>
      </c>
      <c r="N2" s="12"/>
      <c r="O2" s="13" t="s">
        <v>9</v>
      </c>
      <c r="P2" s="12"/>
      <c r="Q2" s="14" t="s">
        <v>10</v>
      </c>
      <c r="R2" s="12"/>
      <c r="S2" s="13" t="s">
        <v>41</v>
      </c>
      <c r="T2" s="12"/>
      <c r="U2" s="17"/>
      <c r="V2" s="18"/>
      <c r="W2" s="18"/>
      <c r="X2" s="19"/>
    </row>
    <row r="3" ht="15.75" customHeight="1">
      <c r="A3" s="11" t="s">
        <v>11</v>
      </c>
      <c r="B3" s="12"/>
      <c r="C3" s="13"/>
      <c r="D3" s="12"/>
      <c r="E3" s="14" t="s">
        <v>12</v>
      </c>
      <c r="F3" s="12"/>
      <c r="G3" s="13" t="s">
        <v>135</v>
      </c>
      <c r="H3" s="12"/>
      <c r="I3" s="14" t="s">
        <v>13</v>
      </c>
      <c r="J3" s="12"/>
      <c r="K3" s="101">
        <v>0.6076388888888888</v>
      </c>
      <c r="L3" s="12"/>
      <c r="M3" s="16" t="s">
        <v>14</v>
      </c>
      <c r="N3" s="12"/>
      <c r="O3" s="13" t="s">
        <v>15</v>
      </c>
      <c r="P3" s="12"/>
      <c r="Q3" s="14" t="s">
        <v>16</v>
      </c>
      <c r="R3" s="12"/>
      <c r="S3" s="13" t="s">
        <v>48</v>
      </c>
      <c r="T3" s="12"/>
      <c r="U3" s="21" t="s">
        <v>17</v>
      </c>
      <c r="V3" s="22"/>
      <c r="W3" s="22"/>
      <c r="X3" s="23"/>
    </row>
    <row r="4" ht="15.75" customHeight="1">
      <c r="A4" s="11" t="s">
        <v>18</v>
      </c>
      <c r="B4" s="12"/>
      <c r="C4" s="13" t="s">
        <v>107</v>
      </c>
      <c r="D4" s="12"/>
      <c r="E4" s="14" t="s">
        <v>20</v>
      </c>
      <c r="F4" s="12"/>
      <c r="G4" s="13" t="s">
        <v>136</v>
      </c>
      <c r="H4" s="12"/>
      <c r="I4" s="14" t="s">
        <v>21</v>
      </c>
      <c r="J4" s="12"/>
      <c r="K4" s="24"/>
      <c r="L4" s="25"/>
      <c r="M4" s="26" t="s">
        <v>22</v>
      </c>
      <c r="N4" s="27"/>
      <c r="O4" s="28">
        <v>0.0</v>
      </c>
      <c r="P4" s="27"/>
      <c r="Q4" s="14" t="s">
        <v>23</v>
      </c>
      <c r="R4" s="12"/>
      <c r="S4" s="20"/>
      <c r="T4" s="12"/>
      <c r="U4" s="29" t="s">
        <v>24</v>
      </c>
      <c r="V4" s="22"/>
      <c r="W4" s="22"/>
      <c r="X4" s="23"/>
    </row>
    <row r="5" ht="15.75" customHeight="1">
      <c r="A5" s="30" t="s">
        <v>25</v>
      </c>
      <c r="B5" s="27"/>
      <c r="C5" s="31"/>
      <c r="D5" s="27"/>
      <c r="E5" s="14" t="s">
        <v>27</v>
      </c>
      <c r="F5" s="12"/>
      <c r="G5" s="13" t="s">
        <v>106</v>
      </c>
      <c r="H5" s="12"/>
      <c r="I5" s="14" t="s">
        <v>28</v>
      </c>
      <c r="J5" s="12"/>
      <c r="K5" s="32"/>
      <c r="L5" s="33"/>
      <c r="M5" s="34"/>
      <c r="N5" s="35"/>
      <c r="O5" s="34"/>
      <c r="P5" s="35"/>
      <c r="Q5" s="36" t="s">
        <v>29</v>
      </c>
      <c r="R5" s="27"/>
      <c r="S5" s="37"/>
      <c r="T5" s="27"/>
      <c r="U5" s="38" t="s">
        <v>30</v>
      </c>
      <c r="V5" s="22"/>
      <c r="W5" s="22"/>
      <c r="X5" s="23"/>
    </row>
    <row r="6" ht="15.75" customHeight="1">
      <c r="A6" s="39"/>
      <c r="B6" s="40"/>
      <c r="C6" s="41"/>
      <c r="D6" s="40"/>
      <c r="E6" s="42" t="s">
        <v>31</v>
      </c>
      <c r="F6" s="43"/>
      <c r="G6" s="44" t="s">
        <v>137</v>
      </c>
      <c r="H6" s="43"/>
      <c r="I6" s="42" t="s">
        <v>32</v>
      </c>
      <c r="J6" s="43"/>
      <c r="K6" s="45"/>
      <c r="L6" s="43"/>
      <c r="M6" s="41"/>
      <c r="N6" s="40"/>
      <c r="O6" s="41"/>
      <c r="P6" s="40"/>
      <c r="Q6" s="41"/>
      <c r="R6" s="40"/>
      <c r="S6" s="41"/>
      <c r="T6" s="40"/>
      <c r="U6" s="46" t="s">
        <v>33</v>
      </c>
      <c r="V6" s="47"/>
      <c r="W6" s="47"/>
      <c r="X6" s="48"/>
    </row>
    <row r="7" ht="15.75" customHeight="1">
      <c r="A7" s="49" t="s">
        <v>138</v>
      </c>
      <c r="B7" s="50"/>
      <c r="C7" s="50"/>
      <c r="D7" s="50"/>
      <c r="E7" s="50"/>
      <c r="F7" s="50"/>
      <c r="G7" s="50"/>
      <c r="H7" s="50"/>
      <c r="I7" s="50"/>
      <c r="J7" s="50"/>
      <c r="K7" s="50"/>
      <c r="L7" s="50"/>
      <c r="M7" s="50"/>
      <c r="N7" s="50"/>
      <c r="O7" s="50"/>
      <c r="P7" s="50"/>
      <c r="Q7" s="50"/>
      <c r="R7" s="50"/>
      <c r="S7" s="50"/>
      <c r="T7" s="50"/>
      <c r="U7" s="50"/>
      <c r="V7" s="50"/>
      <c r="W7" s="50"/>
      <c r="X7" s="51"/>
    </row>
    <row r="8" ht="15.75" customHeight="1">
      <c r="A8" s="49" t="s">
        <v>139</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140</v>
      </c>
      <c r="B9" s="50"/>
      <c r="C9" s="50"/>
      <c r="D9" s="50"/>
      <c r="E9" s="50"/>
      <c r="F9" s="50"/>
      <c r="G9" s="50"/>
      <c r="H9" s="50"/>
      <c r="I9" s="50"/>
      <c r="J9" s="50"/>
      <c r="K9" s="50"/>
      <c r="L9" s="50"/>
      <c r="M9" s="50"/>
      <c r="N9" s="50"/>
      <c r="O9" s="50"/>
      <c r="P9" s="50"/>
      <c r="Q9" s="50"/>
      <c r="R9" s="50"/>
      <c r="S9" s="50"/>
      <c r="T9" s="50"/>
      <c r="U9" s="50"/>
      <c r="V9" s="50"/>
      <c r="W9" s="50"/>
      <c r="X9" s="51"/>
    </row>
    <row r="10" ht="15.75" customHeight="1">
      <c r="A10" s="102" t="s">
        <v>141</v>
      </c>
      <c r="B10" s="91"/>
      <c r="C10" s="91"/>
      <c r="D10" s="91"/>
      <c r="E10" s="91"/>
      <c r="F10" s="2"/>
      <c r="G10" s="90" t="s">
        <v>142</v>
      </c>
      <c r="H10" s="91"/>
      <c r="I10" s="91"/>
      <c r="J10" s="91"/>
      <c r="K10" s="91"/>
      <c r="L10" s="91"/>
      <c r="M10" s="91"/>
      <c r="N10" s="91"/>
      <c r="O10" s="91"/>
      <c r="P10" s="2"/>
      <c r="Q10" s="103" t="s">
        <v>143</v>
      </c>
      <c r="R10" s="2"/>
      <c r="S10" s="104">
        <v>46117.0</v>
      </c>
      <c r="T10" s="91"/>
      <c r="U10" s="91"/>
      <c r="V10" s="91"/>
      <c r="W10" s="91"/>
      <c r="X10" s="92"/>
    </row>
    <row r="11" ht="15.75" customHeight="1">
      <c r="A11" s="105" t="s">
        <v>144</v>
      </c>
      <c r="B11" s="22"/>
      <c r="C11" s="22"/>
      <c r="D11" s="22"/>
      <c r="E11" s="22"/>
      <c r="F11" s="12"/>
      <c r="G11" s="94" t="s">
        <v>145</v>
      </c>
      <c r="H11" s="22"/>
      <c r="I11" s="22"/>
      <c r="J11" s="22"/>
      <c r="K11" s="22"/>
      <c r="L11" s="22"/>
      <c r="M11" s="22"/>
      <c r="N11" s="22"/>
      <c r="O11" s="22"/>
      <c r="P11" s="12"/>
      <c r="Q11" s="106" t="s">
        <v>146</v>
      </c>
      <c r="R11" s="12"/>
      <c r="S11" s="107">
        <v>0.6069444444444444</v>
      </c>
      <c r="T11" s="22"/>
      <c r="U11" s="22"/>
      <c r="V11" s="22"/>
      <c r="W11" s="22"/>
      <c r="X11" s="23"/>
    </row>
    <row r="12" ht="15.75" customHeight="1">
      <c r="A12" s="108" t="s">
        <v>147</v>
      </c>
      <c r="B12" s="86"/>
      <c r="C12" s="86"/>
      <c r="D12" s="86"/>
      <c r="E12" s="86"/>
      <c r="F12" s="27"/>
      <c r="G12" s="109" t="s">
        <v>148</v>
      </c>
      <c r="H12" s="86"/>
      <c r="I12" s="86"/>
      <c r="J12" s="86"/>
      <c r="K12" s="86"/>
      <c r="L12" s="86"/>
      <c r="M12" s="86"/>
      <c r="N12" s="86"/>
      <c r="O12" s="86"/>
      <c r="P12" s="27"/>
      <c r="Q12" s="110" t="s">
        <v>149</v>
      </c>
      <c r="R12" s="27"/>
      <c r="S12" s="111" t="s">
        <v>150</v>
      </c>
      <c r="T12" s="86"/>
      <c r="U12" s="86"/>
      <c r="V12" s="86"/>
      <c r="W12" s="86"/>
      <c r="X12" s="87"/>
    </row>
    <row r="13" ht="15.75" customHeight="1">
      <c r="A13" s="49"/>
      <c r="B13" s="50"/>
      <c r="C13" s="50"/>
      <c r="D13" s="50"/>
      <c r="E13" s="50"/>
      <c r="F13" s="50"/>
      <c r="G13" s="50"/>
      <c r="H13" s="50"/>
      <c r="I13" s="50"/>
      <c r="J13" s="50"/>
      <c r="K13" s="50"/>
      <c r="L13" s="50"/>
      <c r="M13" s="50"/>
      <c r="N13" s="50"/>
      <c r="O13" s="50"/>
      <c r="P13" s="50"/>
      <c r="Q13" s="50"/>
      <c r="R13" s="50"/>
      <c r="S13" s="50"/>
      <c r="T13" s="50"/>
      <c r="U13" s="50"/>
      <c r="V13" s="50"/>
      <c r="W13" s="50"/>
      <c r="X13" s="51"/>
    </row>
    <row r="14" ht="15.75" customHeight="1">
      <c r="A14" s="53" t="s">
        <v>151</v>
      </c>
      <c r="B14" s="50"/>
      <c r="C14" s="50"/>
      <c r="D14" s="50"/>
      <c r="E14" s="50"/>
      <c r="F14" s="50"/>
      <c r="G14" s="50"/>
      <c r="H14" s="50"/>
      <c r="I14" s="50"/>
      <c r="J14" s="50"/>
      <c r="K14" s="50"/>
      <c r="L14" s="50"/>
      <c r="M14" s="50"/>
      <c r="N14" s="50"/>
      <c r="O14" s="50"/>
      <c r="P14" s="50"/>
      <c r="Q14" s="50"/>
      <c r="R14" s="50"/>
      <c r="S14" s="50"/>
      <c r="T14" s="50"/>
      <c r="U14" s="50"/>
      <c r="V14" s="50"/>
      <c r="W14" s="50"/>
      <c r="X14" s="51"/>
    </row>
    <row r="15" ht="15.75" customHeight="1">
      <c r="A15" s="88" t="s">
        <v>112</v>
      </c>
      <c r="B15" s="53" t="s">
        <v>128</v>
      </c>
      <c r="C15" s="50"/>
      <c r="D15" s="50"/>
      <c r="E15" s="50"/>
      <c r="F15" s="50"/>
      <c r="G15" s="50"/>
      <c r="H15" s="51"/>
      <c r="I15" s="53" t="s">
        <v>152</v>
      </c>
      <c r="J15" s="50"/>
      <c r="K15" s="50"/>
      <c r="L15" s="50"/>
      <c r="M15" s="50"/>
      <c r="N15" s="50"/>
      <c r="O15" s="50"/>
      <c r="P15" s="51"/>
      <c r="Q15" s="53" t="s">
        <v>131</v>
      </c>
      <c r="R15" s="50"/>
      <c r="S15" s="50"/>
      <c r="T15" s="51"/>
      <c r="U15" s="53" t="s">
        <v>117</v>
      </c>
      <c r="V15" s="50"/>
      <c r="W15" s="50"/>
      <c r="X15" s="51"/>
    </row>
    <row r="16" ht="15.75" customHeight="1">
      <c r="A16" s="112">
        <v>1.0</v>
      </c>
      <c r="B16" s="113" t="s">
        <v>153</v>
      </c>
      <c r="C16" s="18"/>
      <c r="D16" s="18"/>
      <c r="E16" s="18"/>
      <c r="F16" s="18"/>
      <c r="G16" s="18"/>
      <c r="H16" s="33"/>
      <c r="I16" s="113" t="s">
        <v>154</v>
      </c>
      <c r="J16" s="18"/>
      <c r="K16" s="18"/>
      <c r="L16" s="18"/>
      <c r="M16" s="18"/>
      <c r="N16" s="18"/>
      <c r="O16" s="18"/>
      <c r="P16" s="33"/>
      <c r="Q16" s="114" t="s">
        <v>155</v>
      </c>
      <c r="R16" s="18"/>
      <c r="S16" s="18"/>
      <c r="T16" s="33"/>
      <c r="U16" s="113" t="s">
        <v>122</v>
      </c>
      <c r="V16" s="18"/>
      <c r="W16" s="18"/>
      <c r="X16" s="19"/>
    </row>
    <row r="17" ht="15.75" customHeight="1">
      <c r="A17" s="93">
        <v>2.0</v>
      </c>
      <c r="B17" s="94" t="s">
        <v>156</v>
      </c>
      <c r="C17" s="22"/>
      <c r="D17" s="22"/>
      <c r="E17" s="22"/>
      <c r="F17" s="22"/>
      <c r="G17" s="22"/>
      <c r="H17" s="12"/>
      <c r="I17" s="94" t="s">
        <v>157</v>
      </c>
      <c r="J17" s="22"/>
      <c r="K17" s="22"/>
      <c r="L17" s="22"/>
      <c r="M17" s="22"/>
      <c r="N17" s="22"/>
      <c r="O17" s="22"/>
      <c r="P17" s="12"/>
      <c r="Q17" s="114" t="s">
        <v>158</v>
      </c>
      <c r="R17" s="18"/>
      <c r="S17" s="18"/>
      <c r="T17" s="33"/>
      <c r="U17" s="113" t="s">
        <v>122</v>
      </c>
      <c r="V17" s="18"/>
      <c r="W17" s="18"/>
      <c r="X17" s="19"/>
    </row>
    <row r="18" ht="15.75" customHeight="1">
      <c r="A18" s="93">
        <v>3.0</v>
      </c>
      <c r="B18" s="94" t="s">
        <v>156</v>
      </c>
      <c r="C18" s="22"/>
      <c r="D18" s="22"/>
      <c r="E18" s="22"/>
      <c r="F18" s="22"/>
      <c r="G18" s="22"/>
      <c r="H18" s="12"/>
      <c r="I18" s="94" t="s">
        <v>159</v>
      </c>
      <c r="J18" s="22"/>
      <c r="K18" s="22"/>
      <c r="L18" s="22"/>
      <c r="M18" s="22"/>
      <c r="N18" s="22"/>
      <c r="O18" s="22"/>
      <c r="P18" s="12"/>
      <c r="Q18" s="114" t="s">
        <v>160</v>
      </c>
      <c r="R18" s="18"/>
      <c r="S18" s="18"/>
      <c r="T18" s="33"/>
      <c r="U18" s="113" t="s">
        <v>122</v>
      </c>
      <c r="V18" s="18"/>
      <c r="W18" s="18"/>
      <c r="X18" s="19"/>
    </row>
    <row r="19" ht="15.75" customHeight="1">
      <c r="A19" s="93">
        <v>4.0</v>
      </c>
      <c r="B19" s="94" t="s">
        <v>156</v>
      </c>
      <c r="C19" s="22"/>
      <c r="D19" s="22"/>
      <c r="E19" s="22"/>
      <c r="F19" s="22"/>
      <c r="G19" s="22"/>
      <c r="H19" s="12"/>
      <c r="I19" s="94" t="s">
        <v>161</v>
      </c>
      <c r="J19" s="22"/>
      <c r="K19" s="22"/>
      <c r="L19" s="22"/>
      <c r="M19" s="22"/>
      <c r="N19" s="22"/>
      <c r="O19" s="22"/>
      <c r="P19" s="12"/>
      <c r="Q19" s="115" t="s">
        <v>162</v>
      </c>
      <c r="R19" s="18"/>
      <c r="S19" s="18"/>
      <c r="T19" s="33"/>
      <c r="U19" s="113" t="s">
        <v>122</v>
      </c>
      <c r="V19" s="18"/>
      <c r="W19" s="18"/>
      <c r="X19" s="19"/>
    </row>
    <row r="20" ht="15.75" customHeight="1">
      <c r="A20" s="93">
        <v>5.0</v>
      </c>
      <c r="B20" s="94" t="s">
        <v>156</v>
      </c>
      <c r="C20" s="22"/>
      <c r="D20" s="22"/>
      <c r="E20" s="22"/>
      <c r="F20" s="22"/>
      <c r="G20" s="22"/>
      <c r="H20" s="12"/>
      <c r="I20" s="94" t="s">
        <v>163</v>
      </c>
      <c r="J20" s="22"/>
      <c r="K20" s="22"/>
      <c r="L20" s="22"/>
      <c r="M20" s="22"/>
      <c r="N20" s="22"/>
      <c r="O20" s="22"/>
      <c r="P20" s="12"/>
      <c r="Q20" s="116" t="s">
        <v>164</v>
      </c>
      <c r="R20" s="18"/>
      <c r="S20" s="18"/>
      <c r="T20" s="33"/>
      <c r="U20" s="113" t="s">
        <v>122</v>
      </c>
      <c r="V20" s="18"/>
      <c r="W20" s="18"/>
      <c r="X20" s="19"/>
    </row>
    <row r="21" ht="15.75" customHeight="1">
      <c r="A21" s="93">
        <v>6.0</v>
      </c>
      <c r="B21" s="94" t="s">
        <v>165</v>
      </c>
      <c r="C21" s="22"/>
      <c r="D21" s="22"/>
      <c r="E21" s="22"/>
      <c r="F21" s="22"/>
      <c r="G21" s="22"/>
      <c r="H21" s="12"/>
      <c r="I21" s="94" t="s">
        <v>166</v>
      </c>
      <c r="J21" s="22"/>
      <c r="K21" s="22"/>
      <c r="L21" s="22"/>
      <c r="M21" s="22"/>
      <c r="N21" s="22"/>
      <c r="O21" s="22"/>
      <c r="P21" s="12"/>
      <c r="Q21" s="117" t="s">
        <v>167</v>
      </c>
      <c r="R21" s="18"/>
      <c r="S21" s="18"/>
      <c r="T21" s="33"/>
      <c r="U21" s="94" t="s">
        <v>168</v>
      </c>
      <c r="V21" s="22"/>
      <c r="W21" s="22"/>
      <c r="X21" s="23"/>
    </row>
    <row r="22" ht="15.75" customHeight="1">
      <c r="A22" s="97"/>
      <c r="B22" s="98"/>
      <c r="C22" s="47"/>
      <c r="D22" s="47"/>
      <c r="E22" s="47"/>
      <c r="F22" s="47"/>
      <c r="G22" s="47"/>
      <c r="H22" s="43"/>
      <c r="I22" s="98"/>
      <c r="J22" s="47"/>
      <c r="K22" s="47"/>
      <c r="L22" s="47"/>
      <c r="M22" s="47"/>
      <c r="N22" s="47"/>
      <c r="O22" s="47"/>
      <c r="P22" s="43"/>
      <c r="Q22" s="98"/>
      <c r="R22" s="47"/>
      <c r="S22" s="47"/>
      <c r="T22" s="43"/>
      <c r="U22" s="98"/>
      <c r="V22" s="47"/>
      <c r="W22" s="47"/>
      <c r="X22" s="48"/>
    </row>
    <row r="23" ht="15.75" customHeight="1">
      <c r="A23" s="75"/>
      <c r="B23" s="50"/>
      <c r="C23" s="50"/>
      <c r="D23" s="50"/>
      <c r="E23" s="50"/>
      <c r="F23" s="50"/>
      <c r="G23" s="50"/>
      <c r="H23" s="50"/>
      <c r="I23" s="50"/>
      <c r="J23" s="50"/>
      <c r="K23" s="50"/>
      <c r="L23" s="50"/>
      <c r="M23" s="50"/>
      <c r="N23" s="50"/>
      <c r="O23" s="50"/>
      <c r="P23" s="50"/>
      <c r="Q23" s="50"/>
      <c r="R23" s="50"/>
      <c r="S23" s="50"/>
      <c r="T23" s="50"/>
      <c r="U23" s="50"/>
      <c r="V23" s="50"/>
      <c r="W23" s="50"/>
      <c r="X23" s="51"/>
    </row>
    <row r="24" ht="15.75" customHeight="1">
      <c r="A24" s="53" t="s">
        <v>169</v>
      </c>
      <c r="B24" s="50"/>
      <c r="C24" s="50"/>
      <c r="D24" s="50"/>
      <c r="E24" s="50"/>
      <c r="F24" s="50"/>
      <c r="G24" s="50"/>
      <c r="H24" s="50"/>
      <c r="I24" s="50"/>
      <c r="J24" s="50"/>
      <c r="K24" s="50"/>
      <c r="L24" s="50"/>
      <c r="M24" s="50"/>
      <c r="N24" s="50"/>
      <c r="O24" s="50"/>
      <c r="P24" s="50"/>
      <c r="Q24" s="50"/>
      <c r="R24" s="50"/>
      <c r="S24" s="50"/>
      <c r="T24" s="50"/>
      <c r="U24" s="50"/>
      <c r="V24" s="50"/>
      <c r="W24" s="50"/>
      <c r="X24" s="51"/>
    </row>
    <row r="25" ht="15.75" customHeight="1">
      <c r="A25" s="88" t="s">
        <v>112</v>
      </c>
      <c r="B25" s="53" t="s">
        <v>170</v>
      </c>
      <c r="C25" s="50"/>
      <c r="D25" s="50"/>
      <c r="E25" s="50"/>
      <c r="F25" s="50"/>
      <c r="G25" s="50"/>
      <c r="H25" s="51"/>
      <c r="I25" s="53" t="s">
        <v>171</v>
      </c>
      <c r="J25" s="50"/>
      <c r="K25" s="50"/>
      <c r="L25" s="51"/>
      <c r="M25" s="53" t="s">
        <v>172</v>
      </c>
      <c r="N25" s="50"/>
      <c r="O25" s="50"/>
      <c r="P25" s="50"/>
      <c r="Q25" s="50"/>
      <c r="R25" s="50"/>
      <c r="S25" s="50"/>
      <c r="T25" s="50"/>
      <c r="U25" s="50"/>
      <c r="V25" s="50"/>
      <c r="W25" s="50"/>
      <c r="X25" s="51"/>
    </row>
    <row r="26" ht="15.75" customHeight="1">
      <c r="A26" s="89">
        <v>1.0</v>
      </c>
      <c r="B26" s="90" t="s">
        <v>173</v>
      </c>
      <c r="C26" s="91"/>
      <c r="D26" s="91"/>
      <c r="E26" s="91"/>
      <c r="F26" s="91"/>
      <c r="G26" s="91"/>
      <c r="H26" s="2"/>
      <c r="I26" s="118" t="s">
        <v>174</v>
      </c>
      <c r="J26" s="119"/>
      <c r="K26" s="119"/>
      <c r="L26" s="120"/>
      <c r="M26" s="90" t="s">
        <v>175</v>
      </c>
      <c r="N26" s="91"/>
      <c r="O26" s="91"/>
      <c r="P26" s="91"/>
      <c r="Q26" s="91"/>
      <c r="R26" s="91"/>
      <c r="S26" s="91"/>
      <c r="T26" s="91"/>
      <c r="U26" s="91"/>
      <c r="V26" s="91"/>
      <c r="W26" s="91"/>
      <c r="X26" s="92"/>
    </row>
    <row r="27" ht="15.75" customHeight="1">
      <c r="A27" s="93">
        <v>2.0</v>
      </c>
      <c r="B27" s="121" t="s">
        <v>176</v>
      </c>
      <c r="C27" s="22"/>
      <c r="D27" s="22"/>
      <c r="E27" s="22"/>
      <c r="F27" s="22"/>
      <c r="G27" s="22"/>
      <c r="H27" s="12"/>
      <c r="I27" s="122" t="s">
        <v>174</v>
      </c>
      <c r="J27" s="123"/>
      <c r="K27" s="123"/>
      <c r="L27" s="124"/>
      <c r="M27" s="96" t="s">
        <v>177</v>
      </c>
      <c r="N27" s="22"/>
      <c r="O27" s="22"/>
      <c r="P27" s="22"/>
      <c r="Q27" s="22"/>
      <c r="R27" s="22"/>
      <c r="S27" s="22"/>
      <c r="T27" s="22"/>
      <c r="U27" s="22"/>
      <c r="V27" s="22"/>
      <c r="W27" s="22"/>
      <c r="X27" s="23"/>
    </row>
    <row r="28" ht="15.75" customHeight="1">
      <c r="A28" s="93">
        <v>3.0</v>
      </c>
      <c r="B28" s="94" t="s">
        <v>178</v>
      </c>
      <c r="C28" s="22"/>
      <c r="D28" s="22"/>
      <c r="E28" s="22"/>
      <c r="F28" s="22"/>
      <c r="G28" s="22"/>
      <c r="H28" s="12"/>
      <c r="I28" s="113" t="s">
        <v>174</v>
      </c>
      <c r="J28" s="18"/>
      <c r="K28" s="18"/>
      <c r="L28" s="33"/>
      <c r="M28" s="96" t="s">
        <v>179</v>
      </c>
      <c r="N28" s="22"/>
      <c r="O28" s="22"/>
      <c r="P28" s="22"/>
      <c r="Q28" s="22"/>
      <c r="R28" s="22"/>
      <c r="S28" s="22"/>
      <c r="T28" s="22"/>
      <c r="U28" s="22"/>
      <c r="V28" s="22"/>
      <c r="W28" s="22"/>
      <c r="X28" s="23"/>
    </row>
    <row r="29" ht="15.75" customHeight="1">
      <c r="A29" s="93" t="s">
        <v>180</v>
      </c>
      <c r="B29" s="94"/>
      <c r="C29" s="22"/>
      <c r="D29" s="22"/>
      <c r="E29" s="22"/>
      <c r="F29" s="22"/>
      <c r="G29" s="22"/>
      <c r="H29" s="12"/>
      <c r="I29" s="94" t="s">
        <v>180</v>
      </c>
      <c r="J29" s="22"/>
      <c r="K29" s="22"/>
      <c r="L29" s="12"/>
      <c r="M29" s="94" t="s">
        <v>180</v>
      </c>
      <c r="N29" s="22"/>
      <c r="O29" s="22"/>
      <c r="P29" s="22"/>
      <c r="Q29" s="22"/>
      <c r="R29" s="22"/>
      <c r="S29" s="22"/>
      <c r="T29" s="22"/>
      <c r="U29" s="22"/>
      <c r="V29" s="22"/>
      <c r="W29" s="22"/>
      <c r="X29" s="23"/>
    </row>
    <row r="30" ht="15.75" customHeight="1">
      <c r="A30" s="97" t="s">
        <v>180</v>
      </c>
      <c r="B30" s="98"/>
      <c r="C30" s="47"/>
      <c r="D30" s="47"/>
      <c r="E30" s="47"/>
      <c r="F30" s="47"/>
      <c r="G30" s="47"/>
      <c r="H30" s="43"/>
      <c r="I30" s="98" t="s">
        <v>180</v>
      </c>
      <c r="J30" s="47"/>
      <c r="K30" s="47"/>
      <c r="L30" s="43"/>
      <c r="M30" s="98" t="s">
        <v>180</v>
      </c>
      <c r="N30" s="47"/>
      <c r="O30" s="47"/>
      <c r="P30" s="47"/>
      <c r="Q30" s="47"/>
      <c r="R30" s="47"/>
      <c r="S30" s="47"/>
      <c r="T30" s="47"/>
      <c r="U30" s="47"/>
      <c r="V30" s="47"/>
      <c r="W30" s="47"/>
      <c r="X30" s="48"/>
    </row>
    <row r="31" ht="15.75" customHeight="1">
      <c r="A31" s="125" t="s">
        <v>181</v>
      </c>
      <c r="B31" s="9"/>
      <c r="C31" s="9"/>
      <c r="D31" s="9"/>
      <c r="E31" s="9"/>
      <c r="F31" s="9"/>
      <c r="G31" s="9"/>
      <c r="H31" s="10"/>
      <c r="I31" s="126" t="s">
        <v>182</v>
      </c>
      <c r="J31" s="9"/>
      <c r="K31" s="9"/>
      <c r="L31" s="9"/>
      <c r="M31" s="9"/>
      <c r="N31" s="9"/>
      <c r="O31" s="9"/>
      <c r="P31" s="9"/>
      <c r="Q31" s="9"/>
      <c r="R31" s="9"/>
      <c r="S31" s="9"/>
      <c r="T31" s="9"/>
      <c r="U31" s="9"/>
      <c r="V31" s="9"/>
      <c r="W31" s="9"/>
      <c r="X31" s="10"/>
    </row>
    <row r="32" ht="15.75" customHeight="1">
      <c r="A32" s="79"/>
      <c r="H32" s="80"/>
      <c r="I32" s="79"/>
      <c r="X32" s="80"/>
    </row>
    <row r="33" ht="15.75" customHeight="1">
      <c r="A33" s="79"/>
      <c r="H33" s="80"/>
      <c r="I33" s="79"/>
      <c r="X33" s="80"/>
    </row>
    <row r="34" ht="15.75" customHeight="1">
      <c r="A34" s="39"/>
      <c r="B34" s="81"/>
      <c r="C34" s="81"/>
      <c r="D34" s="81"/>
      <c r="E34" s="81"/>
      <c r="F34" s="81"/>
      <c r="G34" s="81"/>
      <c r="H34" s="82"/>
      <c r="I34" s="39"/>
      <c r="J34" s="81"/>
      <c r="K34" s="81"/>
      <c r="L34" s="81"/>
      <c r="M34" s="81"/>
      <c r="N34" s="81"/>
      <c r="O34" s="81"/>
      <c r="P34" s="81"/>
      <c r="Q34" s="81"/>
      <c r="R34" s="81"/>
      <c r="S34" s="81"/>
      <c r="T34" s="81"/>
      <c r="U34" s="81"/>
      <c r="V34" s="81"/>
      <c r="W34" s="81"/>
      <c r="X34" s="82"/>
    </row>
    <row r="35" ht="15.75" customHeight="1">
      <c r="A35" s="53" t="s">
        <v>101</v>
      </c>
      <c r="B35" s="50"/>
      <c r="C35" s="50"/>
      <c r="D35" s="50"/>
      <c r="E35" s="50"/>
      <c r="F35" s="50"/>
      <c r="G35" s="50"/>
      <c r="H35" s="50"/>
      <c r="I35" s="50"/>
      <c r="J35" s="50"/>
      <c r="K35" s="50"/>
      <c r="L35" s="51"/>
      <c r="M35" s="76" t="s">
        <v>102</v>
      </c>
      <c r="N35" s="50"/>
      <c r="O35" s="50"/>
      <c r="P35" s="50"/>
      <c r="Q35" s="51"/>
      <c r="R35" s="75" t="s">
        <v>121</v>
      </c>
      <c r="S35" s="50"/>
      <c r="T35" s="50"/>
      <c r="U35" s="50"/>
      <c r="V35" s="50"/>
      <c r="W35" s="50"/>
      <c r="X35" s="51"/>
    </row>
    <row r="36" ht="15.75" customHeight="1">
      <c r="A36" s="77" t="s">
        <v>183</v>
      </c>
      <c r="B36" s="9"/>
      <c r="C36" s="9"/>
      <c r="D36" s="9"/>
      <c r="E36" s="9"/>
      <c r="F36" s="9"/>
      <c r="G36" s="9"/>
      <c r="H36" s="9"/>
      <c r="I36" s="9"/>
      <c r="J36" s="9"/>
      <c r="K36" s="9"/>
      <c r="L36" s="10"/>
      <c r="M36" s="78" t="s">
        <v>103</v>
      </c>
      <c r="N36" s="9"/>
      <c r="O36" s="9"/>
      <c r="P36" s="9"/>
      <c r="Q36" s="10"/>
      <c r="R36" s="127" t="s">
        <v>184</v>
      </c>
      <c r="S36" s="9"/>
      <c r="T36" s="9"/>
      <c r="U36" s="9"/>
      <c r="V36" s="9"/>
      <c r="W36" s="9"/>
      <c r="X36" s="10"/>
    </row>
    <row r="37" ht="15.75" customHeight="1">
      <c r="A37" s="79"/>
      <c r="L37" s="80"/>
      <c r="M37" s="79"/>
      <c r="Q37" s="80"/>
      <c r="R37" s="79"/>
      <c r="X37" s="80"/>
    </row>
    <row r="38" ht="15.75" customHeight="1">
      <c r="A38" s="79"/>
      <c r="L38" s="80"/>
      <c r="M38" s="79"/>
      <c r="Q38" s="80"/>
      <c r="R38" s="79"/>
      <c r="X38" s="80"/>
    </row>
    <row r="39" ht="15.75" customHeight="1">
      <c r="A39" s="79"/>
      <c r="L39" s="80"/>
      <c r="M39" s="79"/>
      <c r="Q39" s="80"/>
      <c r="R39" s="79"/>
      <c r="X39" s="80"/>
    </row>
    <row r="40" ht="15.75" customHeight="1">
      <c r="A40" s="79"/>
      <c r="L40" s="80"/>
      <c r="M40" s="79"/>
      <c r="Q40" s="80"/>
      <c r="R40" s="79"/>
      <c r="X40" s="80"/>
    </row>
    <row r="41" ht="15.75" customHeight="1">
      <c r="A41" s="39"/>
      <c r="B41" s="81"/>
      <c r="C41" s="81"/>
      <c r="D41" s="81"/>
      <c r="E41" s="81"/>
      <c r="F41" s="81"/>
      <c r="G41" s="81"/>
      <c r="H41" s="81"/>
      <c r="I41" s="81"/>
      <c r="J41" s="81"/>
      <c r="K41" s="81"/>
      <c r="L41" s="82"/>
      <c r="M41" s="39"/>
      <c r="N41" s="81"/>
      <c r="O41" s="81"/>
      <c r="P41" s="81"/>
      <c r="Q41" s="82"/>
      <c r="R41" s="39"/>
      <c r="S41" s="81"/>
      <c r="T41" s="81"/>
      <c r="U41" s="81"/>
      <c r="V41" s="81"/>
      <c r="W41" s="81"/>
      <c r="X41" s="82"/>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34">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R10"/>
    <mergeCell ref="S10:X10"/>
    <mergeCell ref="E5:F5"/>
    <mergeCell ref="G5:H5"/>
    <mergeCell ref="A7:X7"/>
    <mergeCell ref="A8:X8"/>
    <mergeCell ref="A9:X9"/>
    <mergeCell ref="A10:F10"/>
    <mergeCell ref="G10:P10"/>
    <mergeCell ref="A11:F11"/>
    <mergeCell ref="G11:P11"/>
    <mergeCell ref="Q11:R11"/>
    <mergeCell ref="S11:X11"/>
    <mergeCell ref="A12:F12"/>
    <mergeCell ref="Q12:R12"/>
    <mergeCell ref="S12:X12"/>
    <mergeCell ref="G12:P12"/>
    <mergeCell ref="A13:X13"/>
    <mergeCell ref="A14:X14"/>
    <mergeCell ref="B15:H15"/>
    <mergeCell ref="I15:P15"/>
    <mergeCell ref="Q15:T15"/>
    <mergeCell ref="U15:X15"/>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Q19:T19"/>
    <mergeCell ref="U19:X19"/>
    <mergeCell ref="I30:L30"/>
    <mergeCell ref="M30:X30"/>
    <mergeCell ref="B28:H28"/>
    <mergeCell ref="I28:L28"/>
    <mergeCell ref="M28:X28"/>
    <mergeCell ref="B29:H29"/>
    <mergeCell ref="I29:L29"/>
    <mergeCell ref="M29:X29"/>
    <mergeCell ref="B30:H30"/>
    <mergeCell ref="B16:H16"/>
    <mergeCell ref="I16:P16"/>
    <mergeCell ref="Q16:T16"/>
    <mergeCell ref="U16:X16"/>
    <mergeCell ref="I17:P17"/>
    <mergeCell ref="Q17:T17"/>
    <mergeCell ref="U17:X17"/>
    <mergeCell ref="B17:H17"/>
    <mergeCell ref="B18:H18"/>
    <mergeCell ref="I18:P18"/>
    <mergeCell ref="Q18:T18"/>
    <mergeCell ref="U18:X18"/>
    <mergeCell ref="B19:H19"/>
    <mergeCell ref="I19:P19"/>
    <mergeCell ref="B20:H20"/>
    <mergeCell ref="I20:P20"/>
    <mergeCell ref="Q20:T20"/>
    <mergeCell ref="U20:X20"/>
    <mergeCell ref="I21:P21"/>
    <mergeCell ref="Q21:T21"/>
    <mergeCell ref="U21:X21"/>
    <mergeCell ref="B21:H21"/>
    <mergeCell ref="B22:H22"/>
    <mergeCell ref="I22:P22"/>
    <mergeCell ref="Q22:T22"/>
    <mergeCell ref="U22:X22"/>
    <mergeCell ref="A23:X23"/>
    <mergeCell ref="A24:X24"/>
    <mergeCell ref="I27:L27"/>
    <mergeCell ref="M27:X27"/>
    <mergeCell ref="B25:H25"/>
    <mergeCell ref="I25:L25"/>
    <mergeCell ref="M25:X25"/>
    <mergeCell ref="B26:H26"/>
    <mergeCell ref="I26:L26"/>
    <mergeCell ref="M26:X26"/>
    <mergeCell ref="B27:H27"/>
    <mergeCell ref="A31:H34"/>
    <mergeCell ref="I31:X34"/>
    <mergeCell ref="A35:L35"/>
    <mergeCell ref="M35:Q35"/>
    <mergeCell ref="R35:X35"/>
    <mergeCell ref="A36:L41"/>
    <mergeCell ref="M36:Q41"/>
    <mergeCell ref="R36:X41"/>
  </mergeCells>
  <dataValidations>
    <dataValidation type="list" allowBlank="1" showErrorMessage="1" sqref="I26:I28">
      <formula1>"PASS,FAIL,CONDITIONAL"</formula1>
    </dataValidation>
  </dataValidations>
  <hyperlinks>
    <hyperlink r:id="rId1" ref="Q16"/>
    <hyperlink r:id="rId2" ref="Q17"/>
    <hyperlink r:id="rId3" ref="Q18"/>
    <hyperlink r:id="rId4" ref="Q19"/>
    <hyperlink r:id="rId5" ref="Q20"/>
    <hyperlink r:id="rId6" ref="Q21"/>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1" t="s">
        <v>0</v>
      </c>
      <c r="B1" s="2"/>
      <c r="C1" s="3"/>
      <c r="D1" s="2"/>
      <c r="E1" s="4" t="s">
        <v>1</v>
      </c>
      <c r="F1" s="2"/>
      <c r="G1" s="3" t="s">
        <v>49</v>
      </c>
      <c r="H1" s="2"/>
      <c r="I1" s="4" t="s">
        <v>2</v>
      </c>
      <c r="J1" s="2"/>
      <c r="K1" s="5"/>
      <c r="L1" s="2"/>
      <c r="M1" s="6" t="s">
        <v>3</v>
      </c>
      <c r="N1" s="2"/>
      <c r="O1" s="7">
        <v>4.0</v>
      </c>
      <c r="P1" s="2"/>
      <c r="Q1" s="4" t="s">
        <v>4</v>
      </c>
      <c r="R1" s="2"/>
      <c r="S1" s="3" t="s">
        <v>105</v>
      </c>
      <c r="T1" s="2"/>
      <c r="U1" s="8"/>
      <c r="V1" s="9"/>
      <c r="W1" s="9"/>
      <c r="X1" s="10"/>
    </row>
    <row r="2" ht="15.75" customHeight="1">
      <c r="A2" s="11" t="s">
        <v>5</v>
      </c>
      <c r="B2" s="12"/>
      <c r="C2" s="13"/>
      <c r="D2" s="12"/>
      <c r="E2" s="14" t="s">
        <v>6</v>
      </c>
      <c r="F2" s="12"/>
      <c r="G2" s="13"/>
      <c r="H2" s="12"/>
      <c r="I2" s="14" t="s">
        <v>7</v>
      </c>
      <c r="J2" s="12"/>
      <c r="K2" s="15"/>
      <c r="L2" s="12"/>
      <c r="M2" s="16" t="s">
        <v>8</v>
      </c>
      <c r="N2" s="12"/>
      <c r="O2" s="13" t="s">
        <v>9</v>
      </c>
      <c r="P2" s="12"/>
      <c r="Q2" s="14" t="s">
        <v>10</v>
      </c>
      <c r="R2" s="12"/>
      <c r="S2" s="13" t="s">
        <v>106</v>
      </c>
      <c r="T2" s="12"/>
      <c r="U2" s="17"/>
      <c r="V2" s="18"/>
      <c r="W2" s="18"/>
      <c r="X2" s="19"/>
    </row>
    <row r="3" ht="15.75" customHeight="1">
      <c r="A3" s="11" t="s">
        <v>11</v>
      </c>
      <c r="B3" s="12"/>
      <c r="C3" s="13"/>
      <c r="D3" s="12"/>
      <c r="E3" s="14" t="s">
        <v>12</v>
      </c>
      <c r="F3" s="12"/>
      <c r="G3" s="13" t="s">
        <v>135</v>
      </c>
      <c r="H3" s="12"/>
      <c r="I3" s="14" t="s">
        <v>13</v>
      </c>
      <c r="J3" s="12"/>
      <c r="K3" s="20"/>
      <c r="L3" s="12"/>
      <c r="M3" s="16" t="s">
        <v>14</v>
      </c>
      <c r="N3" s="12"/>
      <c r="O3" s="13" t="s">
        <v>15</v>
      </c>
      <c r="P3" s="12"/>
      <c r="Q3" s="14" t="s">
        <v>16</v>
      </c>
      <c r="R3" s="12"/>
      <c r="S3" s="13" t="s">
        <v>185</v>
      </c>
      <c r="T3" s="12"/>
      <c r="U3" s="21" t="s">
        <v>17</v>
      </c>
      <c r="V3" s="22"/>
      <c r="W3" s="22"/>
      <c r="X3" s="23"/>
    </row>
    <row r="4" ht="15.75" customHeight="1">
      <c r="A4" s="11" t="s">
        <v>18</v>
      </c>
      <c r="B4" s="12"/>
      <c r="C4" s="13" t="s">
        <v>107</v>
      </c>
      <c r="D4" s="12"/>
      <c r="E4" s="14" t="s">
        <v>20</v>
      </c>
      <c r="F4" s="12"/>
      <c r="G4" s="13" t="s">
        <v>49</v>
      </c>
      <c r="H4" s="12"/>
      <c r="I4" s="14" t="s">
        <v>21</v>
      </c>
      <c r="J4" s="12"/>
      <c r="K4" s="24"/>
      <c r="L4" s="25"/>
      <c r="M4" s="26" t="s">
        <v>22</v>
      </c>
      <c r="N4" s="27"/>
      <c r="O4" s="28">
        <v>0.0</v>
      </c>
      <c r="P4" s="27"/>
      <c r="Q4" s="14" t="s">
        <v>23</v>
      </c>
      <c r="R4" s="12"/>
      <c r="S4" s="20"/>
      <c r="T4" s="12"/>
      <c r="U4" s="29" t="s">
        <v>24</v>
      </c>
      <c r="V4" s="22"/>
      <c r="W4" s="22"/>
      <c r="X4" s="23"/>
    </row>
    <row r="5" ht="15.75" customHeight="1">
      <c r="A5" s="30" t="s">
        <v>25</v>
      </c>
      <c r="B5" s="27"/>
      <c r="C5" s="31"/>
      <c r="D5" s="27"/>
      <c r="E5" s="14" t="s">
        <v>27</v>
      </c>
      <c r="F5" s="12"/>
      <c r="G5" s="13" t="s">
        <v>48</v>
      </c>
      <c r="H5" s="12"/>
      <c r="I5" s="14" t="s">
        <v>28</v>
      </c>
      <c r="J5" s="12"/>
      <c r="K5" s="32"/>
      <c r="L5" s="33"/>
      <c r="M5" s="34"/>
      <c r="N5" s="35"/>
      <c r="O5" s="34"/>
      <c r="P5" s="35"/>
      <c r="Q5" s="36" t="s">
        <v>29</v>
      </c>
      <c r="R5" s="27"/>
      <c r="S5" s="37"/>
      <c r="T5" s="27"/>
      <c r="U5" s="38" t="s">
        <v>30</v>
      </c>
      <c r="V5" s="22"/>
      <c r="W5" s="22"/>
      <c r="X5" s="23"/>
    </row>
    <row r="6" ht="15.75" customHeight="1">
      <c r="A6" s="39"/>
      <c r="B6" s="40"/>
      <c r="C6" s="41"/>
      <c r="D6" s="40"/>
      <c r="E6" s="42" t="s">
        <v>31</v>
      </c>
      <c r="F6" s="43"/>
      <c r="G6" s="44" t="s">
        <v>137</v>
      </c>
      <c r="H6" s="43"/>
      <c r="I6" s="42" t="s">
        <v>32</v>
      </c>
      <c r="J6" s="43"/>
      <c r="K6" s="45"/>
      <c r="L6" s="43"/>
      <c r="M6" s="41"/>
      <c r="N6" s="40"/>
      <c r="O6" s="41"/>
      <c r="P6" s="40"/>
      <c r="Q6" s="41"/>
      <c r="R6" s="40"/>
      <c r="S6" s="41"/>
      <c r="T6" s="40"/>
      <c r="U6" s="46" t="s">
        <v>33</v>
      </c>
      <c r="V6" s="47"/>
      <c r="W6" s="47"/>
      <c r="X6" s="48"/>
    </row>
    <row r="7" ht="15.75" customHeight="1">
      <c r="A7" s="128" t="s">
        <v>186</v>
      </c>
      <c r="B7" s="50"/>
      <c r="C7" s="50"/>
      <c r="D7" s="50"/>
      <c r="E7" s="50"/>
      <c r="F7" s="50"/>
      <c r="G7" s="50"/>
      <c r="H7" s="50"/>
      <c r="I7" s="50"/>
      <c r="J7" s="50"/>
      <c r="K7" s="50"/>
      <c r="L7" s="50"/>
      <c r="M7" s="50"/>
      <c r="N7" s="50"/>
      <c r="O7" s="50"/>
      <c r="P7" s="50"/>
      <c r="Q7" s="50"/>
      <c r="R7" s="50"/>
      <c r="S7" s="50"/>
      <c r="T7" s="50"/>
      <c r="U7" s="50"/>
      <c r="V7" s="50"/>
      <c r="W7" s="50"/>
      <c r="X7" s="51"/>
    </row>
    <row r="8" ht="15.75" customHeight="1">
      <c r="A8" s="49" t="s">
        <v>187</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188</v>
      </c>
      <c r="B9" s="50"/>
      <c r="C9" s="50"/>
      <c r="D9" s="50"/>
      <c r="E9" s="50"/>
      <c r="F9" s="50"/>
      <c r="G9" s="50"/>
      <c r="H9" s="50"/>
      <c r="I9" s="50"/>
      <c r="J9" s="50"/>
      <c r="K9" s="50"/>
      <c r="L9" s="50"/>
      <c r="M9" s="50"/>
      <c r="N9" s="50"/>
      <c r="O9" s="50"/>
      <c r="P9" s="50"/>
      <c r="Q9" s="50"/>
      <c r="R9" s="50"/>
      <c r="S9" s="50"/>
      <c r="T9" s="50"/>
      <c r="U9" s="50"/>
      <c r="V9" s="50"/>
      <c r="W9" s="50"/>
      <c r="X9" s="51"/>
    </row>
    <row r="10" ht="15.75" customHeight="1">
      <c r="A10" s="102" t="s">
        <v>189</v>
      </c>
      <c r="B10" s="91"/>
      <c r="C10" s="91"/>
      <c r="D10" s="91"/>
      <c r="E10" s="91"/>
      <c r="F10" s="2"/>
      <c r="G10" s="129" t="s">
        <v>190</v>
      </c>
      <c r="H10" s="91"/>
      <c r="I10" s="91"/>
      <c r="J10" s="91"/>
      <c r="K10" s="91"/>
      <c r="L10" s="91"/>
      <c r="M10" s="91"/>
      <c r="N10" s="91"/>
      <c r="O10" s="91"/>
      <c r="P10" s="2"/>
      <c r="Q10" s="103" t="s">
        <v>191</v>
      </c>
      <c r="R10" s="2"/>
      <c r="S10" s="130" t="s">
        <v>192</v>
      </c>
      <c r="T10" s="91"/>
      <c r="U10" s="91"/>
      <c r="V10" s="91"/>
      <c r="W10" s="91"/>
      <c r="X10" s="92"/>
    </row>
    <row r="11" ht="15.75" customHeight="1">
      <c r="A11" s="105" t="s">
        <v>193</v>
      </c>
      <c r="B11" s="22"/>
      <c r="C11" s="22"/>
      <c r="D11" s="22"/>
      <c r="E11" s="22"/>
      <c r="F11" s="12"/>
      <c r="G11" s="131" t="s">
        <v>194</v>
      </c>
      <c r="H11" s="22"/>
      <c r="I11" s="22"/>
      <c r="J11" s="22"/>
      <c r="K11" s="22"/>
      <c r="L11" s="22"/>
      <c r="M11" s="22"/>
      <c r="N11" s="22"/>
      <c r="O11" s="22"/>
      <c r="P11" s="12"/>
      <c r="Q11" s="106" t="s">
        <v>195</v>
      </c>
      <c r="R11" s="12"/>
      <c r="S11" s="131" t="s">
        <v>121</v>
      </c>
      <c r="T11" s="22"/>
      <c r="U11" s="22"/>
      <c r="V11" s="22"/>
      <c r="W11" s="22"/>
      <c r="X11" s="23"/>
    </row>
    <row r="12" ht="15.75" customHeight="1">
      <c r="A12" s="108" t="s">
        <v>196</v>
      </c>
      <c r="B12" s="86"/>
      <c r="C12" s="86"/>
      <c r="D12" s="86"/>
      <c r="E12" s="86"/>
      <c r="F12" s="27"/>
      <c r="G12" s="132" t="s">
        <v>197</v>
      </c>
      <c r="H12" s="86"/>
      <c r="I12" s="86"/>
      <c r="J12" s="86"/>
      <c r="K12" s="86"/>
      <c r="L12" s="86"/>
      <c r="M12" s="86"/>
      <c r="N12" s="86"/>
      <c r="O12" s="86"/>
      <c r="P12" s="27"/>
      <c r="Q12" s="110" t="s">
        <v>198</v>
      </c>
      <c r="R12" s="27"/>
      <c r="S12" s="109"/>
      <c r="T12" s="86"/>
      <c r="U12" s="86"/>
      <c r="V12" s="86"/>
      <c r="W12" s="86"/>
      <c r="X12" s="87"/>
    </row>
    <row r="13" ht="15.75" customHeight="1">
      <c r="A13" s="108" t="s">
        <v>199</v>
      </c>
      <c r="B13" s="86"/>
      <c r="C13" s="86"/>
      <c r="D13" s="86"/>
      <c r="E13" s="86"/>
      <c r="F13" s="27"/>
      <c r="G13" s="132" t="s">
        <v>200</v>
      </c>
      <c r="H13" s="86"/>
      <c r="I13" s="86"/>
      <c r="J13" s="86"/>
      <c r="K13" s="86"/>
      <c r="L13" s="86"/>
      <c r="M13" s="86"/>
      <c r="N13" s="86"/>
      <c r="O13" s="86"/>
      <c r="P13" s="27"/>
      <c r="Q13" s="110" t="s">
        <v>201</v>
      </c>
      <c r="R13" s="27"/>
      <c r="S13" s="132" t="s">
        <v>202</v>
      </c>
      <c r="T13" s="86"/>
      <c r="U13" s="86"/>
      <c r="V13" s="86"/>
      <c r="W13" s="86"/>
      <c r="X13" s="87"/>
    </row>
    <row r="14" ht="15.75" customHeight="1">
      <c r="A14" s="49"/>
      <c r="B14" s="50"/>
      <c r="C14" s="50"/>
      <c r="D14" s="50"/>
      <c r="E14" s="50"/>
      <c r="F14" s="50"/>
      <c r="G14" s="50"/>
      <c r="H14" s="50"/>
      <c r="I14" s="50"/>
      <c r="J14" s="50"/>
      <c r="K14" s="50"/>
      <c r="L14" s="50"/>
      <c r="M14" s="50"/>
      <c r="N14" s="50"/>
      <c r="O14" s="50"/>
      <c r="P14" s="50"/>
      <c r="Q14" s="50"/>
      <c r="R14" s="50"/>
      <c r="S14" s="50"/>
      <c r="T14" s="50"/>
      <c r="U14" s="50"/>
      <c r="V14" s="50"/>
      <c r="W14" s="50"/>
      <c r="X14" s="51"/>
    </row>
    <row r="15" ht="15.75" customHeight="1">
      <c r="A15" s="53" t="s">
        <v>203</v>
      </c>
      <c r="B15" s="50"/>
      <c r="C15" s="50"/>
      <c r="D15" s="50"/>
      <c r="E15" s="50"/>
      <c r="F15" s="50"/>
      <c r="G15" s="50"/>
      <c r="H15" s="50"/>
      <c r="I15" s="50"/>
      <c r="J15" s="50"/>
      <c r="K15" s="50"/>
      <c r="L15" s="50"/>
      <c r="M15" s="50"/>
      <c r="N15" s="50"/>
      <c r="O15" s="50"/>
      <c r="P15" s="50"/>
      <c r="Q15" s="50"/>
      <c r="R15" s="50"/>
      <c r="S15" s="50"/>
      <c r="T15" s="50"/>
      <c r="U15" s="50"/>
      <c r="V15" s="50"/>
      <c r="W15" s="50"/>
      <c r="X15" s="51"/>
    </row>
    <row r="16" ht="15.75" customHeight="1">
      <c r="A16" s="133"/>
      <c r="B16" s="125" t="s">
        <v>204</v>
      </c>
      <c r="C16" s="9"/>
      <c r="D16" s="9"/>
      <c r="E16" s="9"/>
      <c r="F16" s="9"/>
      <c r="G16" s="9"/>
      <c r="H16" s="10"/>
      <c r="I16" s="134" t="s">
        <v>205</v>
      </c>
      <c r="J16" s="9"/>
      <c r="K16" s="9"/>
      <c r="L16" s="9"/>
      <c r="M16" s="9"/>
      <c r="N16" s="9"/>
      <c r="O16" s="9"/>
      <c r="P16" s="9"/>
      <c r="Q16" s="9"/>
      <c r="R16" s="9"/>
      <c r="S16" s="9"/>
      <c r="T16" s="9"/>
      <c r="U16" s="9"/>
      <c r="V16" s="9"/>
      <c r="W16" s="9"/>
      <c r="X16" s="10"/>
    </row>
    <row r="17" ht="15.75" customHeight="1">
      <c r="A17" s="135"/>
      <c r="B17" s="79"/>
      <c r="H17" s="80"/>
      <c r="I17" s="79"/>
      <c r="X17" s="80"/>
    </row>
    <row r="18" ht="15.75" customHeight="1">
      <c r="A18" s="136"/>
      <c r="B18" s="39"/>
      <c r="C18" s="81"/>
      <c r="D18" s="81"/>
      <c r="E18" s="81"/>
      <c r="F18" s="81"/>
      <c r="G18" s="81"/>
      <c r="H18" s="82"/>
      <c r="I18" s="39"/>
      <c r="J18" s="81"/>
      <c r="K18" s="81"/>
      <c r="L18" s="81"/>
      <c r="M18" s="81"/>
      <c r="N18" s="81"/>
      <c r="O18" s="81"/>
      <c r="P18" s="81"/>
      <c r="Q18" s="81"/>
      <c r="R18" s="81"/>
      <c r="S18" s="81"/>
      <c r="T18" s="81"/>
      <c r="U18" s="81"/>
      <c r="V18" s="81"/>
      <c r="W18" s="81"/>
      <c r="X18" s="82"/>
    </row>
    <row r="19" ht="15.75" customHeight="1">
      <c r="A19" s="137"/>
      <c r="B19" s="125" t="s">
        <v>206</v>
      </c>
      <c r="C19" s="9"/>
      <c r="D19" s="9"/>
      <c r="E19" s="9"/>
      <c r="F19" s="9"/>
      <c r="G19" s="9"/>
      <c r="H19" s="10"/>
      <c r="I19" s="138" t="s">
        <v>207</v>
      </c>
      <c r="J19" s="9"/>
      <c r="K19" s="9"/>
      <c r="L19" s="9"/>
      <c r="M19" s="9"/>
      <c r="N19" s="9"/>
      <c r="O19" s="9"/>
      <c r="P19" s="9"/>
      <c r="Q19" s="9"/>
      <c r="R19" s="9"/>
      <c r="S19" s="9"/>
      <c r="T19" s="9"/>
      <c r="U19" s="9"/>
      <c r="V19" s="9"/>
      <c r="W19" s="9"/>
      <c r="X19" s="10"/>
    </row>
    <row r="20" ht="15.75" customHeight="1">
      <c r="A20" s="139"/>
      <c r="B20" s="79"/>
      <c r="H20" s="80"/>
      <c r="I20" s="79"/>
      <c r="X20" s="80"/>
    </row>
    <row r="21" ht="44.25" customHeight="1">
      <c r="A21" s="140"/>
      <c r="B21" s="39"/>
      <c r="C21" s="81"/>
      <c r="D21" s="81"/>
      <c r="E21" s="81"/>
      <c r="F21" s="81"/>
      <c r="G21" s="81"/>
      <c r="H21" s="82"/>
      <c r="I21" s="39"/>
      <c r="J21" s="81"/>
      <c r="K21" s="81"/>
      <c r="L21" s="81"/>
      <c r="M21" s="81"/>
      <c r="N21" s="81"/>
      <c r="O21" s="81"/>
      <c r="P21" s="81"/>
      <c r="Q21" s="81"/>
      <c r="R21" s="81"/>
      <c r="S21" s="81"/>
      <c r="T21" s="81"/>
      <c r="U21" s="81"/>
      <c r="V21" s="81"/>
      <c r="W21" s="81"/>
      <c r="X21" s="82"/>
    </row>
    <row r="22" ht="15.75" customHeight="1">
      <c r="A22" s="141"/>
      <c r="B22" s="142" t="s">
        <v>208</v>
      </c>
      <c r="H22" s="80"/>
      <c r="I22" s="143" t="s">
        <v>209</v>
      </c>
      <c r="J22" s="9"/>
      <c r="K22" s="9"/>
      <c r="L22" s="9"/>
      <c r="M22" s="9"/>
      <c r="N22" s="9"/>
      <c r="O22" s="9"/>
      <c r="P22" s="9"/>
      <c r="Q22" s="9"/>
      <c r="R22" s="9"/>
      <c r="S22" s="9"/>
      <c r="T22" s="9"/>
      <c r="U22" s="9"/>
      <c r="V22" s="9"/>
      <c r="W22" s="9"/>
      <c r="X22" s="10"/>
    </row>
    <row r="23" ht="15.75" customHeight="1">
      <c r="A23" s="139"/>
      <c r="B23" s="79"/>
      <c r="H23" s="80"/>
      <c r="I23" s="79"/>
      <c r="X23" s="80"/>
    </row>
    <row r="24" ht="15.75" customHeight="1">
      <c r="A24" s="139"/>
      <c r="B24" s="79"/>
      <c r="H24" s="80"/>
      <c r="I24" s="79"/>
      <c r="X24" s="80"/>
    </row>
    <row r="25" ht="21.0" customHeight="1">
      <c r="A25" s="140"/>
      <c r="B25" s="144"/>
      <c r="C25" s="18"/>
      <c r="D25" s="18"/>
      <c r="E25" s="18"/>
      <c r="F25" s="18"/>
      <c r="G25" s="18"/>
      <c r="H25" s="19"/>
      <c r="I25" s="39"/>
      <c r="J25" s="81"/>
      <c r="K25" s="81"/>
      <c r="L25" s="81"/>
      <c r="M25" s="81"/>
      <c r="N25" s="81"/>
      <c r="O25" s="81"/>
      <c r="P25" s="81"/>
      <c r="Q25" s="81"/>
      <c r="R25" s="81"/>
      <c r="S25" s="81"/>
      <c r="T25" s="81"/>
      <c r="U25" s="81"/>
      <c r="V25" s="81"/>
      <c r="W25" s="81"/>
      <c r="X25" s="82"/>
    </row>
    <row r="26" ht="15.75" customHeight="1">
      <c r="A26" s="75"/>
      <c r="B26" s="50"/>
      <c r="C26" s="50"/>
      <c r="D26" s="50"/>
      <c r="E26" s="50"/>
      <c r="F26" s="50"/>
      <c r="G26" s="50"/>
      <c r="H26" s="50"/>
      <c r="I26" s="50"/>
      <c r="J26" s="50"/>
      <c r="K26" s="50"/>
      <c r="L26" s="50"/>
      <c r="M26" s="50"/>
      <c r="N26" s="50"/>
      <c r="O26" s="50"/>
      <c r="P26" s="50"/>
      <c r="Q26" s="50"/>
      <c r="R26" s="50"/>
      <c r="S26" s="50"/>
      <c r="T26" s="50"/>
      <c r="U26" s="50"/>
      <c r="V26" s="50"/>
      <c r="W26" s="50"/>
      <c r="X26" s="51"/>
    </row>
    <row r="27" ht="15.75" customHeight="1">
      <c r="A27" s="145" t="s">
        <v>210</v>
      </c>
      <c r="B27" s="50"/>
      <c r="C27" s="50"/>
      <c r="D27" s="50"/>
      <c r="E27" s="50"/>
      <c r="F27" s="50"/>
      <c r="G27" s="50"/>
      <c r="H27" s="50"/>
      <c r="I27" s="50"/>
      <c r="J27" s="50"/>
      <c r="K27" s="50"/>
      <c r="L27" s="50"/>
      <c r="M27" s="50"/>
      <c r="N27" s="50"/>
      <c r="O27" s="50"/>
      <c r="P27" s="50"/>
      <c r="Q27" s="50"/>
      <c r="R27" s="50"/>
      <c r="S27" s="50"/>
      <c r="T27" s="50"/>
      <c r="U27" s="50"/>
      <c r="V27" s="50"/>
      <c r="W27" s="50"/>
      <c r="X27" s="51"/>
    </row>
    <row r="28" ht="15.75" customHeight="1">
      <c r="A28" s="146" t="s">
        <v>112</v>
      </c>
      <c r="B28" s="145" t="s">
        <v>211</v>
      </c>
      <c r="C28" s="50"/>
      <c r="D28" s="50"/>
      <c r="E28" s="50"/>
      <c r="F28" s="50"/>
      <c r="G28" s="50"/>
      <c r="H28" s="50"/>
      <c r="I28" s="50"/>
      <c r="J28" s="50"/>
      <c r="K28" s="50"/>
      <c r="L28" s="51"/>
      <c r="M28" s="145" t="s">
        <v>212</v>
      </c>
      <c r="N28" s="50"/>
      <c r="O28" s="50"/>
      <c r="P28" s="50"/>
      <c r="Q28" s="50"/>
      <c r="R28" s="50"/>
      <c r="S28" s="50"/>
      <c r="T28" s="50"/>
      <c r="U28" s="50"/>
      <c r="V28" s="50"/>
      <c r="W28" s="50"/>
      <c r="X28" s="51"/>
    </row>
    <row r="29" ht="15.75" customHeight="1">
      <c r="A29" s="147" t="s">
        <v>213</v>
      </c>
      <c r="B29" s="148" t="s">
        <v>214</v>
      </c>
      <c r="C29" s="9"/>
      <c r="D29" s="9"/>
      <c r="E29" s="9"/>
      <c r="F29" s="9"/>
      <c r="G29" s="9"/>
      <c r="H29" s="9"/>
      <c r="I29" s="9"/>
      <c r="J29" s="9"/>
      <c r="K29" s="9"/>
      <c r="L29" s="9"/>
      <c r="M29" s="148" t="s">
        <v>215</v>
      </c>
      <c r="N29" s="9"/>
      <c r="O29" s="9"/>
      <c r="P29" s="9"/>
      <c r="Q29" s="9"/>
      <c r="R29" s="9"/>
      <c r="S29" s="9"/>
      <c r="T29" s="9"/>
      <c r="U29" s="9"/>
      <c r="V29" s="9"/>
      <c r="W29" s="9"/>
      <c r="X29" s="10"/>
    </row>
    <row r="30" ht="15.75" customHeight="1">
      <c r="A30" s="136"/>
      <c r="B30" s="149"/>
      <c r="C30" s="57"/>
      <c r="D30" s="57"/>
      <c r="E30" s="57"/>
      <c r="F30" s="57"/>
      <c r="G30" s="57"/>
      <c r="H30" s="57"/>
      <c r="I30" s="57"/>
      <c r="J30" s="57"/>
      <c r="K30" s="57"/>
      <c r="L30" s="57"/>
      <c r="M30" s="149"/>
      <c r="N30" s="57"/>
      <c r="O30" s="57"/>
      <c r="P30" s="57"/>
      <c r="Q30" s="57"/>
      <c r="R30" s="57"/>
      <c r="S30" s="57"/>
      <c r="T30" s="57"/>
      <c r="U30" s="57"/>
      <c r="V30" s="57"/>
      <c r="W30" s="57"/>
      <c r="X30" s="59"/>
    </row>
    <row r="31" ht="15.75" customHeight="1">
      <c r="A31" s="150" t="s">
        <v>216</v>
      </c>
      <c r="B31" s="151" t="s">
        <v>217</v>
      </c>
      <c r="C31" s="152"/>
      <c r="D31" s="152"/>
      <c r="E31" s="152"/>
      <c r="F31" s="152"/>
      <c r="G31" s="152"/>
      <c r="H31" s="152"/>
      <c r="I31" s="152"/>
      <c r="J31" s="152"/>
      <c r="K31" s="152"/>
      <c r="L31" s="152"/>
      <c r="M31" s="153"/>
      <c r="N31" s="152"/>
      <c r="O31" s="152"/>
      <c r="P31" s="152"/>
      <c r="Q31" s="152"/>
      <c r="R31" s="152"/>
      <c r="S31" s="152"/>
      <c r="T31" s="152"/>
      <c r="U31" s="152"/>
      <c r="V31" s="152"/>
      <c r="W31" s="152"/>
      <c r="X31" s="154"/>
    </row>
    <row r="32" ht="15.75" customHeight="1">
      <c r="A32" s="136"/>
      <c r="B32" s="149"/>
      <c r="C32" s="57"/>
      <c r="D32" s="57"/>
      <c r="E32" s="57"/>
      <c r="F32" s="57"/>
      <c r="G32" s="57"/>
      <c r="H32" s="57"/>
      <c r="I32" s="57"/>
      <c r="J32" s="57"/>
      <c r="K32" s="57"/>
      <c r="L32" s="57"/>
      <c r="M32" s="149"/>
      <c r="N32" s="57"/>
      <c r="O32" s="57"/>
      <c r="P32" s="57"/>
      <c r="Q32" s="57"/>
      <c r="R32" s="57"/>
      <c r="S32" s="57"/>
      <c r="T32" s="57"/>
      <c r="U32" s="57"/>
      <c r="V32" s="57"/>
      <c r="W32" s="57"/>
      <c r="X32" s="59"/>
    </row>
    <row r="33" ht="15.75" customHeight="1">
      <c r="A33" s="150" t="s">
        <v>218</v>
      </c>
      <c r="B33" s="151" t="s">
        <v>219</v>
      </c>
      <c r="C33" s="152"/>
      <c r="D33" s="152"/>
      <c r="E33" s="152"/>
      <c r="F33" s="152"/>
      <c r="G33" s="152"/>
      <c r="H33" s="152"/>
      <c r="I33" s="152"/>
      <c r="J33" s="152"/>
      <c r="K33" s="152"/>
      <c r="L33" s="152"/>
      <c r="M33" s="151" t="s">
        <v>220</v>
      </c>
      <c r="N33" s="152"/>
      <c r="O33" s="152"/>
      <c r="P33" s="152"/>
      <c r="Q33" s="152"/>
      <c r="R33" s="152"/>
      <c r="S33" s="152"/>
      <c r="T33" s="152"/>
      <c r="U33" s="152"/>
      <c r="V33" s="152"/>
      <c r="W33" s="152"/>
      <c r="X33" s="154"/>
    </row>
    <row r="34" ht="24.0" customHeight="1">
      <c r="A34" s="136"/>
      <c r="B34" s="149"/>
      <c r="C34" s="57"/>
      <c r="D34" s="57"/>
      <c r="E34" s="57"/>
      <c r="F34" s="57"/>
      <c r="G34" s="57"/>
      <c r="H34" s="57"/>
      <c r="I34" s="57"/>
      <c r="J34" s="57"/>
      <c r="K34" s="57"/>
      <c r="L34" s="57"/>
      <c r="M34" s="149"/>
      <c r="N34" s="57"/>
      <c r="O34" s="57"/>
      <c r="P34" s="57"/>
      <c r="Q34" s="57"/>
      <c r="R34" s="57"/>
      <c r="S34" s="57"/>
      <c r="T34" s="57"/>
      <c r="U34" s="57"/>
      <c r="V34" s="57"/>
      <c r="W34" s="57"/>
      <c r="X34" s="59"/>
    </row>
    <row r="35" ht="15.75" customHeight="1">
      <c r="A35" s="150" t="s">
        <v>221</v>
      </c>
      <c r="B35" s="151" t="s">
        <v>217</v>
      </c>
      <c r="C35" s="152"/>
      <c r="D35" s="152"/>
      <c r="E35" s="152"/>
      <c r="F35" s="152"/>
      <c r="G35" s="152"/>
      <c r="H35" s="152"/>
      <c r="I35" s="152"/>
      <c r="J35" s="152"/>
      <c r="K35" s="152"/>
      <c r="L35" s="152"/>
      <c r="M35" s="153"/>
      <c r="N35" s="152"/>
      <c r="O35" s="152"/>
      <c r="P35" s="152"/>
      <c r="Q35" s="152"/>
      <c r="R35" s="152"/>
      <c r="S35" s="152"/>
      <c r="T35" s="152"/>
      <c r="U35" s="152"/>
      <c r="V35" s="152"/>
      <c r="W35" s="152"/>
      <c r="X35" s="154"/>
    </row>
    <row r="36" ht="15.75" customHeight="1">
      <c r="A36" s="155"/>
      <c r="B36" s="41"/>
      <c r="C36" s="81"/>
      <c r="D36" s="81"/>
      <c r="E36" s="81"/>
      <c r="F36" s="81"/>
      <c r="G36" s="81"/>
      <c r="H36" s="81"/>
      <c r="I36" s="81"/>
      <c r="J36" s="81"/>
      <c r="K36" s="81"/>
      <c r="L36" s="81"/>
      <c r="M36" s="41"/>
      <c r="N36" s="81"/>
      <c r="O36" s="81"/>
      <c r="P36" s="81"/>
      <c r="Q36" s="81"/>
      <c r="R36" s="81"/>
      <c r="S36" s="81"/>
      <c r="T36" s="81"/>
      <c r="U36" s="81"/>
      <c r="V36" s="81"/>
      <c r="W36" s="81"/>
      <c r="X36" s="82"/>
    </row>
    <row r="37" ht="15.75" customHeight="1">
      <c r="A37" s="156" t="s">
        <v>222</v>
      </c>
      <c r="B37" s="50"/>
      <c r="C37" s="50"/>
      <c r="D37" s="50"/>
      <c r="E37" s="50"/>
      <c r="F37" s="50"/>
      <c r="G37" s="50"/>
      <c r="H37" s="50"/>
      <c r="I37" s="50"/>
      <c r="J37" s="50"/>
      <c r="K37" s="50"/>
      <c r="L37" s="50"/>
      <c r="M37" s="50"/>
      <c r="N37" s="50"/>
      <c r="O37" s="50"/>
      <c r="P37" s="50"/>
      <c r="Q37" s="50"/>
      <c r="R37" s="50"/>
      <c r="S37" s="50"/>
      <c r="T37" s="50"/>
      <c r="U37" s="50"/>
      <c r="V37" s="50"/>
      <c r="W37" s="50"/>
      <c r="X37" s="51"/>
    </row>
    <row r="38" ht="15.75" customHeight="1">
      <c r="A38" s="157" t="s">
        <v>223</v>
      </c>
      <c r="B38" s="81"/>
      <c r="C38" s="82"/>
      <c r="D38" s="158" t="s">
        <v>224</v>
      </c>
      <c r="E38" s="81"/>
      <c r="F38" s="81"/>
      <c r="G38" s="81"/>
      <c r="H38" s="81"/>
      <c r="I38" s="81"/>
      <c r="J38" s="81"/>
      <c r="K38" s="81"/>
      <c r="L38" s="81"/>
      <c r="M38" s="159" t="s">
        <v>225</v>
      </c>
      <c r="N38" s="50"/>
      <c r="O38" s="51"/>
      <c r="P38" s="160" t="s">
        <v>226</v>
      </c>
      <c r="Q38" s="50"/>
      <c r="R38" s="50"/>
      <c r="S38" s="50"/>
      <c r="T38" s="50"/>
      <c r="U38" s="50"/>
      <c r="V38" s="50"/>
      <c r="W38" s="50"/>
      <c r="X38" s="51"/>
    </row>
    <row r="39" ht="15.75" customHeight="1">
      <c r="A39" s="161" t="s">
        <v>227</v>
      </c>
      <c r="B39" s="50"/>
      <c r="C39" s="51"/>
      <c r="D39" s="160" t="s">
        <v>228</v>
      </c>
      <c r="E39" s="50"/>
      <c r="F39" s="50"/>
      <c r="G39" s="50"/>
      <c r="H39" s="50"/>
      <c r="I39" s="50"/>
      <c r="J39" s="50"/>
      <c r="K39" s="50"/>
      <c r="L39" s="50"/>
      <c r="M39" s="159" t="s">
        <v>229</v>
      </c>
      <c r="N39" s="50"/>
      <c r="O39" s="51"/>
      <c r="P39" s="160" t="s">
        <v>230</v>
      </c>
      <c r="Q39" s="50"/>
      <c r="R39" s="50"/>
      <c r="S39" s="50"/>
      <c r="T39" s="50"/>
      <c r="U39" s="50"/>
      <c r="V39" s="50"/>
      <c r="W39" s="50"/>
      <c r="X39" s="51"/>
    </row>
    <row r="40" ht="15.75" customHeight="1">
      <c r="A40" s="161" t="s">
        <v>231</v>
      </c>
      <c r="B40" s="50"/>
      <c r="C40" s="51"/>
      <c r="D40" s="160" t="s">
        <v>232</v>
      </c>
      <c r="E40" s="50"/>
      <c r="F40" s="50"/>
      <c r="G40" s="50"/>
      <c r="H40" s="50"/>
      <c r="I40" s="50"/>
      <c r="J40" s="50"/>
      <c r="K40" s="50"/>
      <c r="L40" s="50"/>
      <c r="M40" s="159"/>
      <c r="N40" s="50"/>
      <c r="O40" s="51"/>
      <c r="P40" s="160"/>
      <c r="Q40" s="50"/>
      <c r="R40" s="50"/>
      <c r="S40" s="50"/>
      <c r="T40" s="50"/>
      <c r="U40" s="50"/>
      <c r="V40" s="50"/>
      <c r="W40" s="50"/>
      <c r="X40" s="51"/>
    </row>
    <row r="41" ht="15.75" customHeight="1">
      <c r="A41" s="88" t="s">
        <v>112</v>
      </c>
      <c r="B41" s="162" t="s">
        <v>233</v>
      </c>
      <c r="C41" s="50"/>
      <c r="D41" s="50"/>
      <c r="E41" s="50"/>
      <c r="F41" s="50"/>
      <c r="G41" s="50"/>
      <c r="H41" s="50"/>
      <c r="I41" s="50"/>
      <c r="J41" s="50"/>
      <c r="K41" s="50"/>
      <c r="L41" s="50"/>
      <c r="M41" s="50"/>
      <c r="N41" s="50"/>
      <c r="O41" s="50"/>
      <c r="P41" s="51"/>
      <c r="Q41" s="53" t="s">
        <v>234</v>
      </c>
      <c r="R41" s="50"/>
      <c r="S41" s="50"/>
      <c r="T41" s="51"/>
      <c r="U41" s="53" t="s">
        <v>235</v>
      </c>
      <c r="V41" s="50"/>
      <c r="W41" s="50"/>
      <c r="X41" s="51"/>
    </row>
    <row r="42" ht="15.75" customHeight="1">
      <c r="A42" s="163"/>
      <c r="B42" s="164" t="s">
        <v>236</v>
      </c>
      <c r="C42" s="165"/>
      <c r="D42" s="165"/>
      <c r="E42" s="165"/>
      <c r="F42" s="165"/>
      <c r="G42" s="165"/>
      <c r="H42" s="165"/>
      <c r="I42" s="165"/>
      <c r="J42" s="165"/>
      <c r="K42" s="165"/>
      <c r="L42" s="165"/>
      <c r="M42" s="165"/>
      <c r="N42" s="165"/>
      <c r="O42" s="165"/>
      <c r="P42" s="166"/>
      <c r="Q42" s="75"/>
      <c r="R42" s="50"/>
      <c r="S42" s="50"/>
      <c r="T42" s="51"/>
      <c r="U42" s="75"/>
      <c r="V42" s="50"/>
      <c r="W42" s="50"/>
      <c r="X42" s="51"/>
    </row>
    <row r="43" ht="15.75" customHeight="1">
      <c r="A43" s="163"/>
      <c r="B43" s="164" t="s">
        <v>237</v>
      </c>
      <c r="C43" s="165"/>
      <c r="D43" s="165"/>
      <c r="E43" s="165"/>
      <c r="F43" s="165"/>
      <c r="G43" s="165"/>
      <c r="H43" s="165"/>
      <c r="I43" s="165"/>
      <c r="J43" s="165"/>
      <c r="K43" s="165"/>
      <c r="L43" s="165"/>
      <c r="M43" s="165"/>
      <c r="N43" s="165"/>
      <c r="O43" s="165"/>
      <c r="P43" s="166"/>
      <c r="Q43" s="75"/>
      <c r="R43" s="50"/>
      <c r="S43" s="50"/>
      <c r="T43" s="51"/>
      <c r="U43" s="75"/>
      <c r="V43" s="50"/>
      <c r="W43" s="50"/>
      <c r="X43" s="51"/>
    </row>
    <row r="44" ht="15.75" customHeight="1">
      <c r="A44" s="163"/>
      <c r="B44" s="164" t="s">
        <v>238</v>
      </c>
      <c r="C44" s="165"/>
      <c r="D44" s="165"/>
      <c r="E44" s="165"/>
      <c r="F44" s="165"/>
      <c r="G44" s="165"/>
      <c r="H44" s="165"/>
      <c r="I44" s="165"/>
      <c r="J44" s="165"/>
      <c r="K44" s="165"/>
      <c r="L44" s="165"/>
      <c r="M44" s="165"/>
      <c r="N44" s="165"/>
      <c r="O44" s="165"/>
      <c r="P44" s="166"/>
      <c r="Q44" s="75"/>
      <c r="R44" s="50"/>
      <c r="S44" s="50"/>
      <c r="T44" s="51"/>
      <c r="U44" s="75"/>
      <c r="V44" s="50"/>
      <c r="W44" s="50"/>
      <c r="X44" s="51"/>
    </row>
    <row r="45" ht="15.75" customHeight="1">
      <c r="A45" s="163"/>
      <c r="B45" s="164" t="s">
        <v>239</v>
      </c>
      <c r="C45" s="165"/>
      <c r="D45" s="165"/>
      <c r="E45" s="165"/>
      <c r="F45" s="165"/>
      <c r="G45" s="165"/>
      <c r="H45" s="165"/>
      <c r="I45" s="165"/>
      <c r="J45" s="165"/>
      <c r="K45" s="165"/>
      <c r="L45" s="165"/>
      <c r="M45" s="165"/>
      <c r="N45" s="165"/>
      <c r="O45" s="165"/>
      <c r="P45" s="166"/>
      <c r="Q45" s="75"/>
      <c r="R45" s="50"/>
      <c r="S45" s="50"/>
      <c r="T45" s="51"/>
      <c r="U45" s="75"/>
      <c r="V45" s="50"/>
      <c r="W45" s="50"/>
      <c r="X45" s="51"/>
    </row>
    <row r="46" ht="15.75" customHeight="1">
      <c r="A46" s="163"/>
      <c r="B46" s="75"/>
      <c r="C46" s="50"/>
      <c r="D46" s="50"/>
      <c r="E46" s="50"/>
      <c r="F46" s="50"/>
      <c r="G46" s="50"/>
      <c r="H46" s="50"/>
      <c r="I46" s="50"/>
      <c r="J46" s="50"/>
      <c r="K46" s="50"/>
      <c r="L46" s="50"/>
      <c r="M46" s="50"/>
      <c r="N46" s="50"/>
      <c r="O46" s="50"/>
      <c r="P46" s="51"/>
      <c r="Q46" s="75"/>
      <c r="R46" s="50"/>
      <c r="S46" s="50"/>
      <c r="T46" s="51"/>
      <c r="U46" s="75"/>
      <c r="V46" s="50"/>
      <c r="W46" s="50"/>
      <c r="X46" s="51"/>
    </row>
    <row r="47" ht="15.75" customHeight="1">
      <c r="A47" s="163"/>
      <c r="B47" s="75"/>
      <c r="C47" s="50"/>
      <c r="D47" s="50"/>
      <c r="E47" s="50"/>
      <c r="F47" s="50"/>
      <c r="G47" s="50"/>
      <c r="H47" s="50"/>
      <c r="I47" s="50"/>
      <c r="J47" s="50"/>
      <c r="K47" s="50"/>
      <c r="L47" s="50"/>
      <c r="M47" s="50"/>
      <c r="N47" s="50"/>
      <c r="O47" s="50"/>
      <c r="P47" s="51"/>
      <c r="Q47" s="75"/>
      <c r="R47" s="50"/>
      <c r="S47" s="50"/>
      <c r="T47" s="51"/>
      <c r="U47" s="75"/>
      <c r="V47" s="50"/>
      <c r="W47" s="50"/>
      <c r="X47" s="51"/>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3">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R10"/>
    <mergeCell ref="S10:X10"/>
    <mergeCell ref="E5:F5"/>
    <mergeCell ref="G5:H5"/>
    <mergeCell ref="A7:X7"/>
    <mergeCell ref="A8:X8"/>
    <mergeCell ref="A9:X9"/>
    <mergeCell ref="A10:F10"/>
    <mergeCell ref="G10:P10"/>
    <mergeCell ref="A11:F11"/>
    <mergeCell ref="G11:P11"/>
    <mergeCell ref="Q11:R11"/>
    <mergeCell ref="S11:X11"/>
    <mergeCell ref="G12:P12"/>
    <mergeCell ref="Q12:R12"/>
    <mergeCell ref="S12:X12"/>
    <mergeCell ref="A12:F12"/>
    <mergeCell ref="A13:F13"/>
    <mergeCell ref="G13:P13"/>
    <mergeCell ref="Q13:R13"/>
    <mergeCell ref="S13:X13"/>
    <mergeCell ref="A14:X14"/>
    <mergeCell ref="A15:X15"/>
    <mergeCell ref="B22:H25"/>
    <mergeCell ref="I22:X25"/>
    <mergeCell ref="A16:A18"/>
    <mergeCell ref="B16:H18"/>
    <mergeCell ref="I16:X18"/>
    <mergeCell ref="A19:A21"/>
    <mergeCell ref="B19:H21"/>
    <mergeCell ref="I19:X21"/>
    <mergeCell ref="A22:A25"/>
    <mergeCell ref="B35:L36"/>
    <mergeCell ref="M35:X36"/>
    <mergeCell ref="A35:A36"/>
    <mergeCell ref="A38:C38"/>
    <mergeCell ref="A39:C39"/>
    <mergeCell ref="A40:C40"/>
    <mergeCell ref="A31:A32"/>
    <mergeCell ref="B31:L32"/>
    <mergeCell ref="M31:X32"/>
    <mergeCell ref="A33:A34"/>
    <mergeCell ref="B33:L34"/>
    <mergeCell ref="M33:X34"/>
    <mergeCell ref="A37:X37"/>
    <mergeCell ref="M40:O40"/>
    <mergeCell ref="P40:X40"/>
    <mergeCell ref="D38:L38"/>
    <mergeCell ref="M38:O38"/>
    <mergeCell ref="P38:X38"/>
    <mergeCell ref="D39:L39"/>
    <mergeCell ref="M39:O39"/>
    <mergeCell ref="P39:X39"/>
    <mergeCell ref="D40:L40"/>
    <mergeCell ref="B41:P41"/>
    <mergeCell ref="Q41:T41"/>
    <mergeCell ref="U41:X41"/>
    <mergeCell ref="Q42:T42"/>
    <mergeCell ref="U42:X42"/>
    <mergeCell ref="Q43:T43"/>
    <mergeCell ref="U43:X43"/>
    <mergeCell ref="B47:P47"/>
    <mergeCell ref="Q47:T47"/>
    <mergeCell ref="U47:X47"/>
    <mergeCell ref="Q44:T44"/>
    <mergeCell ref="U44:X44"/>
    <mergeCell ref="Q45:T45"/>
    <mergeCell ref="U45:X45"/>
    <mergeCell ref="B46:P46"/>
    <mergeCell ref="Q46:T46"/>
    <mergeCell ref="U46:X46"/>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26:X26"/>
    <mergeCell ref="A27:X27"/>
    <mergeCell ref="B28:L28"/>
    <mergeCell ref="M28:X28"/>
    <mergeCell ref="A29:A30"/>
    <mergeCell ref="B29:L30"/>
    <mergeCell ref="M29:X30"/>
  </mergeCells>
  <hyperlinks>
    <hyperlink r:id="rId1" ref="G1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7" width="6.0"/>
    <col customWidth="1" min="8" max="8" width="12.75"/>
    <col customWidth="1" min="9" max="19" width="6.0"/>
    <col customWidth="1" min="20" max="20" width="7.63"/>
    <col customWidth="1" min="21" max="24" width="6.0"/>
  </cols>
  <sheetData>
    <row r="1" ht="15.75" customHeight="1">
      <c r="A1" s="1" t="s">
        <v>0</v>
      </c>
      <c r="B1" s="2"/>
      <c r="C1" s="3" t="s">
        <v>133</v>
      </c>
      <c r="D1" s="2"/>
      <c r="E1" s="4" t="s">
        <v>1</v>
      </c>
      <c r="F1" s="2"/>
      <c r="G1" s="167" t="s">
        <v>240</v>
      </c>
      <c r="H1" s="2"/>
      <c r="I1" s="4" t="s">
        <v>2</v>
      </c>
      <c r="J1" s="2"/>
      <c r="K1" s="5">
        <v>46117.0</v>
      </c>
      <c r="L1" s="2"/>
      <c r="M1" s="6" t="s">
        <v>3</v>
      </c>
      <c r="N1" s="2"/>
      <c r="O1" s="7">
        <v>4.0</v>
      </c>
      <c r="P1" s="2"/>
      <c r="Q1" s="4" t="s">
        <v>4</v>
      </c>
      <c r="R1" s="2"/>
      <c r="S1" s="3" t="s">
        <v>241</v>
      </c>
      <c r="T1" s="2"/>
      <c r="U1" s="8"/>
      <c r="V1" s="9"/>
      <c r="W1" s="9"/>
      <c r="X1" s="10"/>
    </row>
    <row r="2" ht="15.75" customHeight="1">
      <c r="A2" s="11" t="s">
        <v>5</v>
      </c>
      <c r="B2" s="12"/>
      <c r="C2" s="13" t="s">
        <v>134</v>
      </c>
      <c r="D2" s="12"/>
      <c r="E2" s="14" t="s">
        <v>6</v>
      </c>
      <c r="F2" s="12"/>
      <c r="G2" s="13" t="s">
        <v>194</v>
      </c>
      <c r="H2" s="12"/>
      <c r="I2" s="14" t="s">
        <v>7</v>
      </c>
      <c r="J2" s="12"/>
      <c r="K2" s="15" t="s">
        <v>180</v>
      </c>
      <c r="L2" s="12"/>
      <c r="M2" s="16" t="s">
        <v>8</v>
      </c>
      <c r="N2" s="12"/>
      <c r="O2" s="13" t="s">
        <v>242</v>
      </c>
      <c r="P2" s="12"/>
      <c r="Q2" s="14" t="s">
        <v>10</v>
      </c>
      <c r="R2" s="12"/>
      <c r="S2" s="13" t="s">
        <v>41</v>
      </c>
      <c r="T2" s="12"/>
      <c r="U2" s="17"/>
      <c r="V2" s="18"/>
      <c r="W2" s="18"/>
      <c r="X2" s="19"/>
    </row>
    <row r="3" ht="15.75" customHeight="1">
      <c r="A3" s="11" t="s">
        <v>18</v>
      </c>
      <c r="B3" s="12"/>
      <c r="C3" s="13" t="s">
        <v>19</v>
      </c>
      <c r="D3" s="12"/>
      <c r="E3" s="14" t="s">
        <v>20</v>
      </c>
      <c r="F3" s="12"/>
      <c r="G3" s="13" t="s">
        <v>243</v>
      </c>
      <c r="H3" s="12"/>
      <c r="I3" s="14" t="s">
        <v>21</v>
      </c>
      <c r="J3" s="12"/>
      <c r="K3" s="20" t="s">
        <v>180</v>
      </c>
      <c r="L3" s="12"/>
      <c r="M3" s="16" t="s">
        <v>22</v>
      </c>
      <c r="N3" s="12"/>
      <c r="O3" s="13">
        <v>0.0</v>
      </c>
      <c r="P3" s="12"/>
      <c r="Q3" s="14" t="s">
        <v>23</v>
      </c>
      <c r="R3" s="12"/>
      <c r="S3" s="13" t="s">
        <v>24</v>
      </c>
      <c r="T3" s="12"/>
      <c r="U3" s="21" t="s">
        <v>17</v>
      </c>
      <c r="V3" s="22"/>
      <c r="W3" s="22"/>
      <c r="X3" s="23"/>
    </row>
    <row r="4" ht="15.75" customHeight="1">
      <c r="A4" s="11" t="s">
        <v>25</v>
      </c>
      <c r="B4" s="12"/>
      <c r="C4" s="13" t="s">
        <v>180</v>
      </c>
      <c r="D4" s="12"/>
      <c r="E4" s="14" t="s">
        <v>27</v>
      </c>
      <c r="F4" s="12"/>
      <c r="G4" s="13" t="s">
        <v>96</v>
      </c>
      <c r="H4" s="12"/>
      <c r="I4" s="14" t="s">
        <v>28</v>
      </c>
      <c r="J4" s="12"/>
      <c r="K4" s="24" t="s">
        <v>180</v>
      </c>
      <c r="L4" s="25"/>
      <c r="M4" s="26" t="s">
        <v>180</v>
      </c>
      <c r="N4" s="27"/>
      <c r="O4" s="28" t="s">
        <v>180</v>
      </c>
      <c r="P4" s="27"/>
      <c r="Q4" s="14" t="s">
        <v>29</v>
      </c>
      <c r="R4" s="12"/>
      <c r="S4" s="20" t="s">
        <v>244</v>
      </c>
      <c r="T4" s="12"/>
      <c r="U4" s="29" t="s">
        <v>24</v>
      </c>
      <c r="V4" s="22"/>
      <c r="W4" s="22"/>
      <c r="X4" s="23"/>
    </row>
    <row r="5" ht="15.75" customHeight="1">
      <c r="A5" s="30" t="s">
        <v>180</v>
      </c>
      <c r="B5" s="27"/>
      <c r="C5" s="31" t="s">
        <v>180</v>
      </c>
      <c r="D5" s="27"/>
      <c r="E5" s="14" t="s">
        <v>180</v>
      </c>
      <c r="F5" s="12"/>
      <c r="G5" s="13" t="s">
        <v>180</v>
      </c>
      <c r="H5" s="12"/>
      <c r="I5" s="14" t="s">
        <v>180</v>
      </c>
      <c r="J5" s="12"/>
      <c r="K5" s="32" t="s">
        <v>180</v>
      </c>
      <c r="L5" s="33"/>
      <c r="M5" s="34"/>
      <c r="N5" s="35"/>
      <c r="O5" s="34"/>
      <c r="P5" s="35"/>
      <c r="Q5" s="36" t="s">
        <v>180</v>
      </c>
      <c r="R5" s="27"/>
      <c r="S5" s="37" t="s">
        <v>180</v>
      </c>
      <c r="T5" s="27"/>
      <c r="U5" s="38" t="s">
        <v>30</v>
      </c>
      <c r="V5" s="22"/>
      <c r="W5" s="22"/>
      <c r="X5" s="23"/>
    </row>
    <row r="6" ht="15.75" customHeight="1">
      <c r="A6" s="39"/>
      <c r="B6" s="40"/>
      <c r="C6" s="41"/>
      <c r="D6" s="40"/>
      <c r="E6" s="42" t="s">
        <v>180</v>
      </c>
      <c r="F6" s="43"/>
      <c r="G6" s="44" t="s">
        <v>180</v>
      </c>
      <c r="H6" s="43"/>
      <c r="I6" s="42" t="s">
        <v>180</v>
      </c>
      <c r="J6" s="43"/>
      <c r="K6" s="45" t="s">
        <v>180</v>
      </c>
      <c r="L6" s="43"/>
      <c r="M6" s="41"/>
      <c r="N6" s="40"/>
      <c r="O6" s="41"/>
      <c r="P6" s="40"/>
      <c r="Q6" s="41"/>
      <c r="R6" s="40"/>
      <c r="S6" s="41"/>
      <c r="T6" s="40"/>
      <c r="U6" s="46" t="s">
        <v>33</v>
      </c>
      <c r="V6" s="47"/>
      <c r="W6" s="47"/>
      <c r="X6" s="48"/>
    </row>
    <row r="7" ht="15.75" customHeight="1">
      <c r="A7" s="128" t="s">
        <v>245</v>
      </c>
      <c r="B7" s="50"/>
      <c r="C7" s="50"/>
      <c r="D7" s="50"/>
      <c r="E7" s="50"/>
      <c r="F7" s="50"/>
      <c r="G7" s="50"/>
      <c r="H7" s="50"/>
      <c r="I7" s="50"/>
      <c r="J7" s="50"/>
      <c r="K7" s="50"/>
      <c r="L7" s="50"/>
      <c r="M7" s="50"/>
      <c r="N7" s="50"/>
      <c r="O7" s="50"/>
      <c r="P7" s="50"/>
      <c r="Q7" s="50"/>
      <c r="R7" s="50"/>
      <c r="S7" s="50"/>
      <c r="T7" s="50"/>
      <c r="U7" s="50"/>
      <c r="V7" s="50"/>
      <c r="W7" s="50"/>
      <c r="X7" s="51"/>
    </row>
    <row r="8" ht="15.75" customHeight="1">
      <c r="A8" s="49" t="s">
        <v>246</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247</v>
      </c>
      <c r="B9" s="50"/>
      <c r="C9" s="50"/>
      <c r="D9" s="50"/>
      <c r="E9" s="50"/>
      <c r="F9" s="50"/>
      <c r="G9" s="50"/>
      <c r="H9" s="50"/>
      <c r="I9" s="50"/>
      <c r="J9" s="50"/>
      <c r="K9" s="50"/>
      <c r="L9" s="50"/>
      <c r="M9" s="50"/>
      <c r="N9" s="50"/>
      <c r="O9" s="50"/>
      <c r="P9" s="50"/>
      <c r="Q9" s="50"/>
      <c r="R9" s="50"/>
      <c r="S9" s="50"/>
      <c r="T9" s="50"/>
      <c r="U9" s="50"/>
      <c r="V9" s="50"/>
      <c r="W9" s="50"/>
      <c r="X9" s="51"/>
    </row>
    <row r="10" ht="15.75" customHeight="1">
      <c r="A10" s="168" t="s">
        <v>112</v>
      </c>
      <c r="B10" s="76" t="s">
        <v>248</v>
      </c>
      <c r="C10" s="50"/>
      <c r="D10" s="50"/>
      <c r="E10" s="51"/>
      <c r="F10" s="76" t="s">
        <v>249</v>
      </c>
      <c r="G10" s="50"/>
      <c r="H10" s="50"/>
      <c r="I10" s="50"/>
      <c r="J10" s="51"/>
      <c r="K10" s="76" t="s">
        <v>250</v>
      </c>
      <c r="L10" s="50"/>
      <c r="M10" s="50"/>
      <c r="N10" s="50"/>
      <c r="O10" s="51"/>
      <c r="P10" s="76" t="s">
        <v>251</v>
      </c>
      <c r="Q10" s="50"/>
      <c r="R10" s="50"/>
      <c r="S10" s="50"/>
      <c r="T10" s="51"/>
      <c r="U10" s="76" t="s">
        <v>252</v>
      </c>
      <c r="V10" s="50"/>
      <c r="W10" s="50"/>
      <c r="X10" s="51"/>
    </row>
    <row r="11" ht="15.75" customHeight="1">
      <c r="A11" s="169">
        <v>1.1</v>
      </c>
      <c r="B11" s="170" t="s">
        <v>253</v>
      </c>
      <c r="C11" s="123"/>
      <c r="D11" s="123"/>
      <c r="E11" s="171"/>
      <c r="F11" s="170" t="s">
        <v>254</v>
      </c>
      <c r="G11" s="123"/>
      <c r="H11" s="123"/>
      <c r="I11" s="123"/>
      <c r="J11" s="171"/>
      <c r="K11" s="170" t="s">
        <v>217</v>
      </c>
      <c r="L11" s="123"/>
      <c r="M11" s="123"/>
      <c r="N11" s="123"/>
      <c r="O11" s="171"/>
      <c r="P11" s="170" t="s">
        <v>255</v>
      </c>
      <c r="Q11" s="123"/>
      <c r="R11" s="123"/>
      <c r="S11" s="123"/>
      <c r="T11" s="171"/>
      <c r="U11" s="170" t="s">
        <v>256</v>
      </c>
      <c r="V11" s="123"/>
      <c r="W11" s="123"/>
      <c r="X11" s="172"/>
    </row>
    <row r="12" ht="15.75" customHeight="1">
      <c r="A12" s="173">
        <v>1.2</v>
      </c>
      <c r="B12" s="174" t="s">
        <v>257</v>
      </c>
      <c r="C12" s="175"/>
      <c r="D12" s="175"/>
      <c r="E12" s="176"/>
      <c r="F12" s="174" t="s">
        <v>258</v>
      </c>
      <c r="G12" s="175"/>
      <c r="H12" s="175"/>
      <c r="I12" s="175"/>
      <c r="J12" s="176"/>
      <c r="K12" s="174" t="s">
        <v>259</v>
      </c>
      <c r="L12" s="175"/>
      <c r="M12" s="175"/>
      <c r="N12" s="175"/>
      <c r="O12" s="176"/>
      <c r="P12" s="174" t="s">
        <v>260</v>
      </c>
      <c r="Q12" s="175"/>
      <c r="R12" s="175"/>
      <c r="S12" s="175"/>
      <c r="T12" s="176"/>
      <c r="U12" s="174" t="s">
        <v>261</v>
      </c>
      <c r="V12" s="175"/>
      <c r="W12" s="175"/>
      <c r="X12" s="177"/>
    </row>
    <row r="13" ht="15.75" customHeight="1">
      <c r="A13" s="173">
        <v>1.3</v>
      </c>
      <c r="B13" s="174" t="s">
        <v>262</v>
      </c>
      <c r="C13" s="175"/>
      <c r="D13" s="175"/>
      <c r="E13" s="176"/>
      <c r="F13" s="174" t="s">
        <v>263</v>
      </c>
      <c r="G13" s="175"/>
      <c r="H13" s="175"/>
      <c r="I13" s="175"/>
      <c r="J13" s="176"/>
      <c r="K13" s="174" t="s">
        <v>264</v>
      </c>
      <c r="L13" s="175"/>
      <c r="M13" s="175"/>
      <c r="N13" s="175"/>
      <c r="O13" s="176"/>
      <c r="P13" s="174" t="s">
        <v>265</v>
      </c>
      <c r="Q13" s="175"/>
      <c r="R13" s="175"/>
      <c r="S13" s="175"/>
      <c r="T13" s="176"/>
      <c r="U13" s="174" t="s">
        <v>266</v>
      </c>
      <c r="V13" s="175"/>
      <c r="W13" s="175"/>
      <c r="X13" s="177"/>
    </row>
    <row r="14" ht="15.75" customHeight="1">
      <c r="A14" s="173">
        <v>1.4</v>
      </c>
      <c r="B14" s="174" t="s">
        <v>267</v>
      </c>
      <c r="C14" s="175"/>
      <c r="D14" s="175"/>
      <c r="E14" s="176"/>
      <c r="F14" s="174" t="s">
        <v>268</v>
      </c>
      <c r="G14" s="175"/>
      <c r="H14" s="175"/>
      <c r="I14" s="175"/>
      <c r="J14" s="176"/>
      <c r="K14" s="174" t="s">
        <v>269</v>
      </c>
      <c r="L14" s="175"/>
      <c r="M14" s="175"/>
      <c r="N14" s="175"/>
      <c r="O14" s="176"/>
      <c r="P14" s="174" t="s">
        <v>270</v>
      </c>
      <c r="Q14" s="175"/>
      <c r="R14" s="175"/>
      <c r="S14" s="175"/>
      <c r="T14" s="176"/>
      <c r="U14" s="174" t="s">
        <v>271</v>
      </c>
      <c r="V14" s="175"/>
      <c r="W14" s="175"/>
      <c r="X14" s="177"/>
    </row>
    <row r="15" ht="15.75" customHeight="1">
      <c r="A15" s="173">
        <v>1.5</v>
      </c>
      <c r="B15" s="174" t="s">
        <v>272</v>
      </c>
      <c r="C15" s="175"/>
      <c r="D15" s="175"/>
      <c r="E15" s="176"/>
      <c r="F15" s="174" t="s">
        <v>273</v>
      </c>
      <c r="G15" s="175"/>
      <c r="H15" s="175"/>
      <c r="I15" s="175"/>
      <c r="J15" s="176"/>
      <c r="K15" s="174" t="s">
        <v>274</v>
      </c>
      <c r="L15" s="175"/>
      <c r="M15" s="175"/>
      <c r="N15" s="175"/>
      <c r="O15" s="176"/>
      <c r="P15" s="174" t="s">
        <v>275</v>
      </c>
      <c r="Q15" s="175"/>
      <c r="R15" s="175"/>
      <c r="S15" s="175"/>
      <c r="T15" s="176"/>
      <c r="U15" s="174" t="s">
        <v>276</v>
      </c>
      <c r="V15" s="175"/>
      <c r="W15" s="175"/>
      <c r="X15" s="177"/>
    </row>
    <row r="16" ht="15.75" customHeight="1">
      <c r="A16" s="178" t="s">
        <v>180</v>
      </c>
      <c r="B16" s="81"/>
      <c r="C16" s="81"/>
      <c r="D16" s="81"/>
      <c r="E16" s="81"/>
      <c r="F16" s="81"/>
      <c r="G16" s="81"/>
      <c r="H16" s="81"/>
      <c r="I16" s="81"/>
      <c r="J16" s="81"/>
      <c r="K16" s="81"/>
      <c r="L16" s="81"/>
      <c r="M16" s="81"/>
      <c r="N16" s="81"/>
      <c r="O16" s="81"/>
      <c r="P16" s="81"/>
      <c r="Q16" s="81"/>
      <c r="R16" s="81"/>
      <c r="S16" s="81"/>
      <c r="T16" s="81"/>
      <c r="U16" s="81"/>
      <c r="V16" s="81"/>
      <c r="W16" s="81"/>
      <c r="X16" s="82"/>
    </row>
    <row r="17" ht="15.75" customHeight="1">
      <c r="A17" s="179" t="s">
        <v>277</v>
      </c>
      <c r="B17" s="50"/>
      <c r="C17" s="50"/>
      <c r="D17" s="50"/>
      <c r="E17" s="50"/>
      <c r="F17" s="50"/>
      <c r="G17" s="50"/>
      <c r="H17" s="50"/>
      <c r="I17" s="50"/>
      <c r="J17" s="50"/>
      <c r="K17" s="50"/>
      <c r="L17" s="50"/>
      <c r="M17" s="50"/>
      <c r="N17" s="50"/>
      <c r="O17" s="50"/>
      <c r="P17" s="50"/>
      <c r="Q17" s="50"/>
      <c r="R17" s="50"/>
      <c r="S17" s="50"/>
      <c r="T17" s="50"/>
      <c r="U17" s="50"/>
      <c r="V17" s="50"/>
      <c r="W17" s="50"/>
      <c r="X17" s="51"/>
    </row>
    <row r="18" ht="15.75" customHeight="1">
      <c r="A18" s="180" t="s">
        <v>112</v>
      </c>
      <c r="B18" s="181" t="s">
        <v>278</v>
      </c>
      <c r="C18" s="9"/>
      <c r="D18" s="9"/>
      <c r="E18" s="10"/>
      <c r="F18" s="181" t="s">
        <v>279</v>
      </c>
      <c r="G18" s="9"/>
      <c r="H18" s="9"/>
      <c r="I18" s="9"/>
      <c r="J18" s="10"/>
      <c r="K18" s="181" t="s">
        <v>280</v>
      </c>
      <c r="L18" s="9"/>
      <c r="M18" s="9"/>
      <c r="N18" s="9"/>
      <c r="O18" s="10"/>
      <c r="P18" s="181" t="s">
        <v>281</v>
      </c>
      <c r="Q18" s="9"/>
      <c r="R18" s="9"/>
      <c r="S18" s="9"/>
      <c r="T18" s="10"/>
      <c r="U18" s="181" t="s">
        <v>252</v>
      </c>
      <c r="V18" s="9"/>
      <c r="W18" s="9"/>
      <c r="X18" s="10"/>
    </row>
    <row r="19" ht="15.75" customHeight="1">
      <c r="A19" s="182">
        <v>2.1</v>
      </c>
      <c r="B19" s="183" t="s">
        <v>282</v>
      </c>
      <c r="C19" s="119"/>
      <c r="D19" s="119"/>
      <c r="E19" s="184"/>
      <c r="F19" s="183" t="s">
        <v>283</v>
      </c>
      <c r="G19" s="119"/>
      <c r="H19" s="119"/>
      <c r="I19" s="119"/>
      <c r="J19" s="184"/>
      <c r="K19" s="183" t="s">
        <v>284</v>
      </c>
      <c r="L19" s="119"/>
      <c r="M19" s="119"/>
      <c r="N19" s="119"/>
      <c r="O19" s="184"/>
      <c r="P19" s="183" t="s">
        <v>285</v>
      </c>
      <c r="Q19" s="119"/>
      <c r="R19" s="119"/>
      <c r="S19" s="119"/>
      <c r="T19" s="184"/>
      <c r="U19" s="183" t="s">
        <v>286</v>
      </c>
      <c r="V19" s="119"/>
      <c r="W19" s="119"/>
      <c r="X19" s="185"/>
    </row>
    <row r="20" ht="15.75" customHeight="1">
      <c r="A20" s="173">
        <v>2.2</v>
      </c>
      <c r="B20" s="174" t="s">
        <v>287</v>
      </c>
      <c r="C20" s="175"/>
      <c r="D20" s="175"/>
      <c r="E20" s="176"/>
      <c r="F20" s="174" t="s">
        <v>283</v>
      </c>
      <c r="G20" s="175"/>
      <c r="H20" s="175"/>
      <c r="I20" s="175"/>
      <c r="J20" s="176"/>
      <c r="K20" s="174" t="s">
        <v>217</v>
      </c>
      <c r="L20" s="175"/>
      <c r="M20" s="175"/>
      <c r="N20" s="175"/>
      <c r="O20" s="176"/>
      <c r="P20" s="174" t="s">
        <v>288</v>
      </c>
      <c r="Q20" s="175"/>
      <c r="R20" s="175"/>
      <c r="S20" s="175"/>
      <c r="T20" s="176"/>
      <c r="U20" s="174" t="s">
        <v>289</v>
      </c>
      <c r="V20" s="175"/>
      <c r="W20" s="175"/>
      <c r="X20" s="177"/>
    </row>
    <row r="21" ht="15.75" customHeight="1">
      <c r="A21" s="173">
        <v>2.3</v>
      </c>
      <c r="B21" s="174" t="s">
        <v>290</v>
      </c>
      <c r="C21" s="175"/>
      <c r="D21" s="175"/>
      <c r="E21" s="176"/>
      <c r="F21" s="174" t="s">
        <v>217</v>
      </c>
      <c r="G21" s="175"/>
      <c r="H21" s="175"/>
      <c r="I21" s="175"/>
      <c r="J21" s="176"/>
      <c r="K21" s="174" t="s">
        <v>217</v>
      </c>
      <c r="L21" s="175"/>
      <c r="M21" s="175"/>
      <c r="N21" s="175"/>
      <c r="O21" s="176"/>
      <c r="P21" s="174" t="s">
        <v>291</v>
      </c>
      <c r="Q21" s="175"/>
      <c r="R21" s="175"/>
      <c r="S21" s="175"/>
      <c r="T21" s="176"/>
      <c r="U21" s="174" t="s">
        <v>292</v>
      </c>
      <c r="V21" s="175"/>
      <c r="W21" s="175"/>
      <c r="X21" s="177"/>
    </row>
    <row r="22" ht="15.75" customHeight="1">
      <c r="A22" s="173">
        <v>2.4</v>
      </c>
      <c r="B22" s="174" t="s">
        <v>293</v>
      </c>
      <c r="C22" s="175"/>
      <c r="D22" s="175"/>
      <c r="E22" s="176"/>
      <c r="F22" s="174" t="s">
        <v>294</v>
      </c>
      <c r="G22" s="175"/>
      <c r="H22" s="175"/>
      <c r="I22" s="175"/>
      <c r="J22" s="176"/>
      <c r="K22" s="174" t="s">
        <v>295</v>
      </c>
      <c r="L22" s="175"/>
      <c r="M22" s="175"/>
      <c r="N22" s="175"/>
      <c r="O22" s="176"/>
      <c r="P22" s="174" t="s">
        <v>296</v>
      </c>
      <c r="Q22" s="175"/>
      <c r="R22" s="175"/>
      <c r="S22" s="175"/>
      <c r="T22" s="176"/>
      <c r="U22" s="174" t="s">
        <v>297</v>
      </c>
      <c r="V22" s="175"/>
      <c r="W22" s="175"/>
      <c r="X22" s="177"/>
    </row>
    <row r="23" ht="15.75" customHeight="1">
      <c r="A23" s="173">
        <v>2.5</v>
      </c>
      <c r="B23" s="174" t="s">
        <v>298</v>
      </c>
      <c r="C23" s="175"/>
      <c r="D23" s="175"/>
      <c r="E23" s="176"/>
      <c r="F23" s="174" t="s">
        <v>299</v>
      </c>
      <c r="G23" s="175"/>
      <c r="H23" s="175"/>
      <c r="I23" s="175"/>
      <c r="J23" s="176"/>
      <c r="K23" s="174" t="s">
        <v>217</v>
      </c>
      <c r="L23" s="175"/>
      <c r="M23" s="175"/>
      <c r="N23" s="175"/>
      <c r="O23" s="176"/>
      <c r="P23" s="174" t="s">
        <v>300</v>
      </c>
      <c r="Q23" s="175"/>
      <c r="R23" s="175"/>
      <c r="S23" s="175"/>
      <c r="T23" s="176"/>
      <c r="U23" s="174" t="s">
        <v>301</v>
      </c>
      <c r="V23" s="175"/>
      <c r="W23" s="175"/>
      <c r="X23" s="177"/>
    </row>
    <row r="24" ht="15.75" customHeight="1">
      <c r="A24" s="186" t="s">
        <v>180</v>
      </c>
      <c r="B24" s="81"/>
      <c r="C24" s="81"/>
      <c r="D24" s="81"/>
      <c r="E24" s="81"/>
      <c r="F24" s="81"/>
      <c r="G24" s="81"/>
      <c r="H24" s="81"/>
      <c r="I24" s="81"/>
      <c r="J24" s="81"/>
      <c r="K24" s="81"/>
      <c r="L24" s="81"/>
      <c r="M24" s="81"/>
      <c r="N24" s="81"/>
      <c r="O24" s="81"/>
      <c r="P24" s="81"/>
      <c r="Q24" s="81"/>
      <c r="R24" s="81"/>
      <c r="S24" s="81"/>
      <c r="T24" s="81"/>
      <c r="U24" s="81"/>
      <c r="V24" s="81"/>
      <c r="W24" s="81"/>
      <c r="X24" s="82"/>
    </row>
    <row r="25" ht="15.75" customHeight="1">
      <c r="A25" s="187" t="s">
        <v>302</v>
      </c>
      <c r="B25" s="81"/>
      <c r="C25" s="81"/>
      <c r="D25" s="81"/>
      <c r="E25" s="81"/>
      <c r="F25" s="81"/>
      <c r="G25" s="81"/>
      <c r="H25" s="81"/>
      <c r="I25" s="81"/>
      <c r="J25" s="81"/>
      <c r="K25" s="81"/>
      <c r="L25" s="81"/>
      <c r="M25" s="81"/>
      <c r="N25" s="81"/>
      <c r="O25" s="81"/>
      <c r="P25" s="81"/>
      <c r="Q25" s="81"/>
      <c r="R25" s="81"/>
      <c r="S25" s="81"/>
      <c r="T25" s="81"/>
      <c r="U25" s="81"/>
      <c r="V25" s="81"/>
      <c r="W25" s="81"/>
      <c r="X25" s="82"/>
    </row>
    <row r="26" ht="15.75" customHeight="1">
      <c r="A26" s="163" t="s">
        <v>303</v>
      </c>
      <c r="B26" s="163" t="s">
        <v>180</v>
      </c>
      <c r="C26" s="163" t="s">
        <v>180</v>
      </c>
      <c r="D26" s="163" t="s">
        <v>180</v>
      </c>
      <c r="E26" s="163" t="s">
        <v>180</v>
      </c>
      <c r="F26" s="163" t="s">
        <v>180</v>
      </c>
      <c r="G26" s="163" t="s">
        <v>180</v>
      </c>
      <c r="H26" s="163" t="s">
        <v>180</v>
      </c>
      <c r="I26" s="163" t="s">
        <v>180</v>
      </c>
      <c r="J26" s="188" t="s">
        <v>304</v>
      </c>
      <c r="K26" s="189" t="s">
        <v>305</v>
      </c>
      <c r="L26" s="50"/>
      <c r="M26" s="50"/>
      <c r="N26" s="50"/>
      <c r="O26" s="50"/>
      <c r="P26" s="50"/>
      <c r="Q26" s="50"/>
      <c r="R26" s="50"/>
      <c r="S26" s="50"/>
      <c r="T26" s="50"/>
      <c r="U26" s="50"/>
      <c r="V26" s="50"/>
      <c r="W26" s="50"/>
      <c r="X26" s="51"/>
    </row>
    <row r="27" ht="15.75" customHeight="1">
      <c r="A27" s="75" t="s">
        <v>306</v>
      </c>
      <c r="B27" s="165"/>
      <c r="C27" s="165"/>
      <c r="D27" s="165"/>
      <c r="E27" s="165"/>
      <c r="F27" s="165"/>
      <c r="G27" s="165"/>
      <c r="H27" s="165"/>
      <c r="I27" s="165"/>
      <c r="J27" s="190" t="s">
        <v>307</v>
      </c>
      <c r="K27" s="75" t="s">
        <v>308</v>
      </c>
      <c r="L27" s="50"/>
      <c r="M27" s="50"/>
      <c r="N27" s="50"/>
      <c r="O27" s="50"/>
      <c r="P27" s="50"/>
      <c r="Q27" s="50"/>
      <c r="R27" s="50"/>
      <c r="S27" s="50"/>
      <c r="T27" s="50"/>
      <c r="U27" s="50"/>
      <c r="V27" s="50"/>
      <c r="W27" s="50"/>
      <c r="X27" s="51"/>
    </row>
    <row r="28" ht="15.75" customHeight="1">
      <c r="L28" s="83"/>
      <c r="M28" s="83"/>
      <c r="N28" s="83"/>
      <c r="O28" s="83"/>
      <c r="P28" s="83"/>
      <c r="Q28" s="83"/>
      <c r="R28" s="83"/>
      <c r="S28" s="83"/>
      <c r="T28" s="83"/>
      <c r="U28" s="83"/>
      <c r="V28" s="83"/>
      <c r="W28" s="83"/>
      <c r="X28" s="83"/>
    </row>
    <row r="29" ht="15.75" customHeight="1">
      <c r="A29" s="83"/>
      <c r="B29" s="83"/>
      <c r="C29" s="83"/>
      <c r="D29" s="83"/>
      <c r="E29" s="83"/>
      <c r="F29" s="83"/>
      <c r="G29" s="83"/>
      <c r="H29" s="83"/>
      <c r="I29" s="83"/>
      <c r="J29" s="83"/>
      <c r="K29" s="83"/>
      <c r="L29" s="83"/>
      <c r="M29" s="83"/>
      <c r="N29" s="83"/>
      <c r="O29" s="83"/>
      <c r="P29" s="83"/>
      <c r="Q29" s="83"/>
      <c r="R29" s="83"/>
      <c r="S29" s="83"/>
      <c r="T29" s="83"/>
      <c r="U29" s="83"/>
      <c r="V29" s="83"/>
      <c r="W29" s="83"/>
      <c r="X29" s="83"/>
    </row>
    <row r="30" ht="15.75" customHeight="1">
      <c r="A30" s="83"/>
      <c r="B30" s="83"/>
      <c r="C30" s="83"/>
      <c r="D30" s="83"/>
      <c r="E30" s="83"/>
      <c r="F30" s="83"/>
      <c r="G30" s="83"/>
      <c r="H30" s="83"/>
      <c r="I30" s="83"/>
      <c r="J30" s="83"/>
      <c r="K30" s="83"/>
      <c r="L30" s="83"/>
      <c r="M30" s="83"/>
      <c r="N30" s="83"/>
      <c r="O30" s="83"/>
      <c r="P30" s="83"/>
      <c r="Q30" s="83"/>
      <c r="R30" s="83"/>
      <c r="S30" s="83"/>
      <c r="T30" s="83"/>
      <c r="U30" s="83"/>
      <c r="V30" s="83"/>
      <c r="W30" s="83"/>
      <c r="X30" s="83"/>
    </row>
    <row r="31" ht="15.75" customHeight="1">
      <c r="A31" s="83"/>
      <c r="B31" s="83"/>
      <c r="C31" s="83"/>
      <c r="D31" s="83"/>
      <c r="E31" s="83"/>
      <c r="F31" s="83"/>
      <c r="G31" s="83"/>
      <c r="H31" s="83"/>
      <c r="I31" s="83"/>
      <c r="J31" s="83"/>
      <c r="K31" s="83"/>
      <c r="L31" s="83"/>
      <c r="M31" s="83"/>
      <c r="N31" s="83"/>
      <c r="O31" s="83"/>
      <c r="P31" s="83"/>
      <c r="Q31" s="83"/>
      <c r="R31" s="83"/>
      <c r="S31" s="83"/>
      <c r="T31" s="83"/>
      <c r="U31" s="83"/>
      <c r="V31" s="83"/>
      <c r="W31" s="83"/>
      <c r="X31" s="83"/>
    </row>
    <row r="32" ht="15.75" customHeight="1">
      <c r="A32" s="83"/>
      <c r="B32" s="83"/>
      <c r="C32" s="83"/>
      <c r="D32" s="83"/>
      <c r="E32" s="83"/>
      <c r="F32" s="83"/>
      <c r="G32" s="83"/>
      <c r="H32" s="83"/>
      <c r="I32" s="83"/>
      <c r="J32" s="83"/>
      <c r="K32" s="83"/>
      <c r="L32" s="83"/>
      <c r="M32" s="83"/>
      <c r="N32" s="83"/>
      <c r="O32" s="83"/>
      <c r="P32" s="83"/>
      <c r="Q32" s="83"/>
      <c r="R32" s="83"/>
      <c r="S32" s="83"/>
      <c r="T32" s="83"/>
      <c r="U32" s="83"/>
      <c r="V32" s="83"/>
      <c r="W32" s="83"/>
      <c r="X32" s="83"/>
    </row>
    <row r="33" ht="15.75" customHeight="1">
      <c r="A33" s="83"/>
      <c r="B33" s="83"/>
      <c r="C33" s="83"/>
      <c r="D33" s="83"/>
      <c r="E33" s="83"/>
      <c r="F33" s="83"/>
      <c r="G33" s="83"/>
      <c r="H33" s="83"/>
      <c r="I33" s="83"/>
      <c r="J33" s="83"/>
      <c r="K33" s="83"/>
      <c r="L33" s="83"/>
      <c r="M33" s="83"/>
      <c r="N33" s="83"/>
      <c r="O33" s="83"/>
      <c r="P33" s="83"/>
      <c r="Q33" s="83"/>
      <c r="R33" s="83"/>
      <c r="S33" s="83"/>
      <c r="T33" s="83"/>
      <c r="U33" s="83"/>
      <c r="V33" s="83"/>
      <c r="W33" s="83"/>
      <c r="X33" s="83"/>
    </row>
    <row r="34" ht="15.7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row>
    <row r="35" ht="15.75" customHeight="1">
      <c r="A35" s="83"/>
      <c r="B35" s="83"/>
      <c r="C35" s="83"/>
      <c r="D35" s="83"/>
      <c r="E35" s="83"/>
      <c r="F35" s="83"/>
      <c r="G35" s="83"/>
      <c r="H35" s="83"/>
      <c r="I35" s="83"/>
      <c r="J35" s="83"/>
      <c r="K35" s="83"/>
      <c r="L35" s="83"/>
      <c r="M35" s="83"/>
      <c r="N35" s="83"/>
      <c r="O35" s="83"/>
      <c r="P35" s="83"/>
      <c r="Q35" s="83"/>
      <c r="R35" s="83"/>
      <c r="S35" s="83"/>
      <c r="T35" s="83"/>
      <c r="U35" s="83"/>
      <c r="V35" s="83"/>
      <c r="W35" s="83"/>
      <c r="X35" s="83"/>
    </row>
    <row r="36" ht="15.75" customHeight="1">
      <c r="A36" s="83"/>
      <c r="B36" s="83"/>
      <c r="C36" s="83"/>
      <c r="D36" s="83"/>
      <c r="E36" s="83"/>
      <c r="F36" s="83"/>
      <c r="G36" s="83"/>
      <c r="H36" s="83"/>
      <c r="I36" s="83"/>
      <c r="J36" s="83"/>
      <c r="K36" s="83"/>
      <c r="L36" s="83"/>
      <c r="M36" s="83"/>
      <c r="N36" s="83"/>
      <c r="O36" s="83"/>
      <c r="P36" s="83"/>
      <c r="Q36" s="83"/>
      <c r="R36" s="83"/>
      <c r="S36" s="83"/>
      <c r="T36" s="83"/>
      <c r="U36" s="83"/>
      <c r="V36" s="83"/>
      <c r="W36" s="83"/>
      <c r="X36" s="83"/>
    </row>
    <row r="37" ht="15.75" customHeight="1">
      <c r="A37" s="83"/>
      <c r="B37" s="83"/>
      <c r="C37" s="83"/>
      <c r="D37" s="83"/>
      <c r="E37" s="83"/>
      <c r="F37" s="83"/>
      <c r="G37" s="83"/>
      <c r="H37" s="83"/>
      <c r="I37" s="83"/>
      <c r="J37" s="83"/>
      <c r="K37" s="83"/>
      <c r="L37" s="83"/>
      <c r="M37" s="83"/>
      <c r="N37" s="83"/>
      <c r="O37" s="83"/>
      <c r="P37" s="83"/>
      <c r="Q37" s="83"/>
      <c r="R37" s="83"/>
      <c r="S37" s="83"/>
      <c r="T37" s="83"/>
      <c r="U37" s="83"/>
      <c r="V37" s="83"/>
      <c r="W37" s="83"/>
      <c r="X37" s="83"/>
    </row>
    <row r="38" ht="15.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row>
    <row r="39" ht="15.75" customHeight="1">
      <c r="A39" s="83"/>
      <c r="B39" s="83"/>
      <c r="C39" s="83"/>
      <c r="D39" s="83"/>
      <c r="E39" s="83"/>
      <c r="F39" s="83"/>
      <c r="G39" s="83"/>
      <c r="H39" s="83"/>
      <c r="I39" s="83"/>
      <c r="J39" s="83"/>
      <c r="K39" s="83"/>
      <c r="L39" s="83"/>
      <c r="M39" s="83"/>
      <c r="N39" s="83"/>
      <c r="O39" s="83"/>
      <c r="P39" s="83"/>
      <c r="Q39" s="83"/>
      <c r="R39" s="83"/>
      <c r="S39" s="83"/>
      <c r="T39" s="83"/>
      <c r="U39" s="83"/>
      <c r="V39" s="83"/>
      <c r="W39" s="83"/>
      <c r="X39" s="83"/>
    </row>
    <row r="40" ht="15.75" customHeight="1">
      <c r="A40" s="83"/>
      <c r="B40" s="83"/>
      <c r="C40" s="83"/>
      <c r="D40" s="83"/>
      <c r="E40" s="83"/>
      <c r="F40" s="83"/>
      <c r="G40" s="83"/>
      <c r="H40" s="83"/>
      <c r="I40" s="83"/>
      <c r="J40" s="83"/>
      <c r="K40" s="83"/>
      <c r="L40" s="83"/>
      <c r="M40" s="83"/>
      <c r="N40" s="83"/>
      <c r="O40" s="83"/>
      <c r="P40" s="83"/>
      <c r="Q40" s="83"/>
      <c r="R40" s="83"/>
      <c r="S40" s="83"/>
      <c r="T40" s="83"/>
      <c r="U40" s="83"/>
      <c r="V40" s="83"/>
      <c r="W40" s="83"/>
      <c r="X40" s="83"/>
    </row>
    <row r="41" ht="15.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row>
    <row r="42" ht="15.75" customHeight="1">
      <c r="A42" s="83"/>
      <c r="B42" s="83"/>
      <c r="C42" s="83"/>
      <c r="D42" s="83"/>
      <c r="E42" s="83"/>
      <c r="F42" s="83"/>
      <c r="G42" s="83"/>
      <c r="H42" s="83"/>
      <c r="I42" s="83"/>
      <c r="J42" s="83"/>
      <c r="K42" s="83"/>
      <c r="L42" s="83"/>
      <c r="M42" s="83"/>
      <c r="N42" s="83"/>
      <c r="O42" s="83"/>
      <c r="P42" s="83"/>
      <c r="Q42" s="83"/>
      <c r="R42" s="83"/>
      <c r="S42" s="83"/>
      <c r="T42" s="83"/>
      <c r="U42" s="83"/>
      <c r="V42" s="83"/>
      <c r="W42" s="83"/>
      <c r="X42" s="83"/>
    </row>
    <row r="43" ht="15.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row>
    <row r="44" ht="15.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row>
    <row r="45" ht="15.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row>
    <row r="46" ht="15.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row>
    <row r="47" ht="15.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row>
    <row r="48" ht="15.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row>
    <row r="49" ht="15.75" customHeight="1">
      <c r="A49" s="83"/>
      <c r="B49" s="83"/>
      <c r="C49" s="83"/>
      <c r="D49" s="83"/>
      <c r="E49" s="83"/>
      <c r="F49" s="83"/>
      <c r="G49" s="83"/>
      <c r="H49" s="83"/>
      <c r="I49" s="83"/>
      <c r="J49" s="83"/>
      <c r="K49" s="83"/>
      <c r="L49" s="83"/>
      <c r="M49" s="83"/>
      <c r="N49" s="83"/>
      <c r="O49" s="83"/>
      <c r="P49" s="83"/>
      <c r="Q49" s="83"/>
      <c r="R49" s="83"/>
      <c r="S49" s="83"/>
      <c r="T49" s="83"/>
      <c r="U49" s="83"/>
      <c r="V49" s="83"/>
      <c r="W49" s="83"/>
      <c r="X49" s="83"/>
    </row>
    <row r="50" ht="15.75" customHeight="1">
      <c r="A50" s="83"/>
      <c r="B50" s="83"/>
      <c r="C50" s="83"/>
      <c r="D50" s="83"/>
      <c r="E50" s="83"/>
      <c r="F50" s="83"/>
      <c r="G50" s="83"/>
      <c r="H50" s="83"/>
      <c r="I50" s="83"/>
      <c r="J50" s="83"/>
      <c r="K50" s="83"/>
      <c r="L50" s="83"/>
      <c r="M50" s="83"/>
      <c r="N50" s="83"/>
      <c r="O50" s="83"/>
      <c r="P50" s="83"/>
      <c r="Q50" s="83"/>
      <c r="R50" s="83"/>
      <c r="S50" s="83"/>
      <c r="T50" s="83"/>
      <c r="U50" s="83"/>
      <c r="V50" s="83"/>
      <c r="W50" s="83"/>
      <c r="X50" s="83"/>
    </row>
    <row r="51" ht="15.75" customHeight="1">
      <c r="A51" s="83"/>
      <c r="B51" s="83"/>
      <c r="C51" s="83"/>
      <c r="D51" s="83"/>
      <c r="E51" s="83"/>
      <c r="F51" s="83"/>
      <c r="G51" s="83"/>
      <c r="H51" s="83"/>
      <c r="I51" s="83"/>
      <c r="J51" s="83"/>
      <c r="K51" s="83"/>
      <c r="L51" s="83"/>
      <c r="M51" s="83"/>
      <c r="N51" s="83"/>
      <c r="O51" s="83"/>
      <c r="P51" s="83"/>
      <c r="Q51" s="83"/>
      <c r="R51" s="83"/>
      <c r="S51" s="83"/>
      <c r="T51" s="83"/>
      <c r="U51" s="83"/>
      <c r="V51" s="83"/>
      <c r="W51" s="83"/>
      <c r="X51" s="8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26">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K10:O10"/>
    <mergeCell ref="P10:T10"/>
    <mergeCell ref="E5:F5"/>
    <mergeCell ref="G5:H5"/>
    <mergeCell ref="A7:X7"/>
    <mergeCell ref="A8:X8"/>
    <mergeCell ref="A9:X9"/>
    <mergeCell ref="F10:J10"/>
    <mergeCell ref="U10:X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P12:T12"/>
    <mergeCell ref="U12:X12"/>
    <mergeCell ref="P20:T20"/>
    <mergeCell ref="U20:X20"/>
    <mergeCell ref="P21:T21"/>
    <mergeCell ref="U21:X21"/>
    <mergeCell ref="P22:T22"/>
    <mergeCell ref="U22:X22"/>
    <mergeCell ref="F20:J20"/>
    <mergeCell ref="K20:O20"/>
    <mergeCell ref="B21:E21"/>
    <mergeCell ref="F21:J21"/>
    <mergeCell ref="K21:O21"/>
    <mergeCell ref="F22:J22"/>
    <mergeCell ref="K22:O22"/>
    <mergeCell ref="B10:E10"/>
    <mergeCell ref="B11:E11"/>
    <mergeCell ref="F11:J11"/>
    <mergeCell ref="K11:O11"/>
    <mergeCell ref="P11:T11"/>
    <mergeCell ref="U11:X11"/>
    <mergeCell ref="B12:E12"/>
    <mergeCell ref="F12:J12"/>
    <mergeCell ref="K12:O12"/>
    <mergeCell ref="B13:E13"/>
    <mergeCell ref="F13:J13"/>
    <mergeCell ref="K13:O13"/>
    <mergeCell ref="P13:T13"/>
    <mergeCell ref="U13:X13"/>
    <mergeCell ref="K15:O15"/>
    <mergeCell ref="P15:T15"/>
    <mergeCell ref="B14:E14"/>
    <mergeCell ref="F14:J14"/>
    <mergeCell ref="K14:O14"/>
    <mergeCell ref="P14:T14"/>
    <mergeCell ref="U14:X14"/>
    <mergeCell ref="B15:E15"/>
    <mergeCell ref="U15:X15"/>
    <mergeCell ref="F15:J15"/>
    <mergeCell ref="A16:X16"/>
    <mergeCell ref="A17:X17"/>
    <mergeCell ref="F18:J18"/>
    <mergeCell ref="K18:O18"/>
    <mergeCell ref="P18:T18"/>
    <mergeCell ref="U18:X18"/>
    <mergeCell ref="B18:E18"/>
    <mergeCell ref="B19:E19"/>
    <mergeCell ref="F19:J19"/>
    <mergeCell ref="K19:O19"/>
    <mergeCell ref="P19:T19"/>
    <mergeCell ref="U19:X19"/>
    <mergeCell ref="B20:E20"/>
    <mergeCell ref="A25:X25"/>
    <mergeCell ref="K26:X26"/>
    <mergeCell ref="K27:X27"/>
    <mergeCell ref="B22:E22"/>
    <mergeCell ref="B23:E23"/>
    <mergeCell ref="F23:J23"/>
    <mergeCell ref="K23:O23"/>
    <mergeCell ref="P23:T23"/>
    <mergeCell ref="U23:X23"/>
    <mergeCell ref="A24:X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1" t="s">
        <v>0</v>
      </c>
      <c r="B1" s="2"/>
      <c r="C1" s="3"/>
      <c r="D1" s="2"/>
      <c r="E1" s="4" t="s">
        <v>1</v>
      </c>
      <c r="F1" s="2"/>
      <c r="G1" s="3" t="s">
        <v>309</v>
      </c>
      <c r="H1" s="2"/>
      <c r="I1" s="4" t="s">
        <v>2</v>
      </c>
      <c r="J1" s="2"/>
      <c r="K1" s="5"/>
      <c r="L1" s="2"/>
      <c r="M1" s="6" t="s">
        <v>3</v>
      </c>
      <c r="N1" s="2"/>
      <c r="O1" s="7">
        <v>4.0</v>
      </c>
      <c r="P1" s="2"/>
      <c r="Q1" s="4" t="s">
        <v>4</v>
      </c>
      <c r="R1" s="2"/>
      <c r="S1" s="3" t="s">
        <v>105</v>
      </c>
      <c r="T1" s="2"/>
      <c r="U1" s="8"/>
      <c r="V1" s="9"/>
      <c r="W1" s="9"/>
      <c r="X1" s="10"/>
    </row>
    <row r="2" ht="15.75" customHeight="1">
      <c r="A2" s="11" t="s">
        <v>5</v>
      </c>
      <c r="B2" s="12"/>
      <c r="C2" s="13"/>
      <c r="D2" s="12"/>
      <c r="E2" s="14" t="s">
        <v>6</v>
      </c>
      <c r="F2" s="12"/>
      <c r="G2" s="13"/>
      <c r="H2" s="12"/>
      <c r="I2" s="14" t="s">
        <v>7</v>
      </c>
      <c r="J2" s="12"/>
      <c r="K2" s="15"/>
      <c r="L2" s="12"/>
      <c r="M2" s="16" t="s">
        <v>8</v>
      </c>
      <c r="N2" s="12"/>
      <c r="O2" s="13" t="s">
        <v>9</v>
      </c>
      <c r="P2" s="12"/>
      <c r="Q2" s="14" t="s">
        <v>10</v>
      </c>
      <c r="R2" s="12"/>
      <c r="S2" s="13" t="s">
        <v>48</v>
      </c>
      <c r="T2" s="12"/>
      <c r="U2" s="17"/>
      <c r="V2" s="18"/>
      <c r="W2" s="18"/>
      <c r="X2" s="19"/>
    </row>
    <row r="3" ht="15.75" customHeight="1">
      <c r="A3" s="11" t="s">
        <v>11</v>
      </c>
      <c r="B3" s="12"/>
      <c r="C3" s="13"/>
      <c r="D3" s="12"/>
      <c r="E3" s="14" t="s">
        <v>12</v>
      </c>
      <c r="F3" s="12"/>
      <c r="G3" s="13" t="s">
        <v>135</v>
      </c>
      <c r="H3" s="12"/>
      <c r="I3" s="14" t="s">
        <v>13</v>
      </c>
      <c r="J3" s="12"/>
      <c r="K3" s="20"/>
      <c r="L3" s="12"/>
      <c r="M3" s="16" t="s">
        <v>14</v>
      </c>
      <c r="N3" s="12"/>
      <c r="O3" s="13" t="s">
        <v>15</v>
      </c>
      <c r="P3" s="12"/>
      <c r="Q3" s="14" t="s">
        <v>16</v>
      </c>
      <c r="R3" s="12"/>
      <c r="S3" s="13" t="s">
        <v>310</v>
      </c>
      <c r="T3" s="12"/>
      <c r="U3" s="21" t="s">
        <v>17</v>
      </c>
      <c r="V3" s="22"/>
      <c r="W3" s="22"/>
      <c r="X3" s="23"/>
    </row>
    <row r="4" ht="15.75" customHeight="1">
      <c r="A4" s="11" t="s">
        <v>18</v>
      </c>
      <c r="B4" s="12"/>
      <c r="C4" s="13" t="s">
        <v>107</v>
      </c>
      <c r="D4" s="12"/>
      <c r="E4" s="14" t="s">
        <v>20</v>
      </c>
      <c r="F4" s="12"/>
      <c r="G4" s="191" t="s">
        <v>309</v>
      </c>
      <c r="H4" s="12"/>
      <c r="I4" s="14" t="s">
        <v>21</v>
      </c>
      <c r="J4" s="12"/>
      <c r="K4" s="24"/>
      <c r="L4" s="25"/>
      <c r="M4" s="26" t="s">
        <v>22</v>
      </c>
      <c r="N4" s="27"/>
      <c r="O4" s="28">
        <v>0.0</v>
      </c>
      <c r="P4" s="27"/>
      <c r="Q4" s="14" t="s">
        <v>23</v>
      </c>
      <c r="R4" s="12"/>
      <c r="S4" s="20"/>
      <c r="T4" s="12"/>
      <c r="U4" s="29" t="s">
        <v>24</v>
      </c>
      <c r="V4" s="22"/>
      <c r="W4" s="22"/>
      <c r="X4" s="23"/>
    </row>
    <row r="5" ht="15.75" customHeight="1">
      <c r="A5" s="30" t="s">
        <v>25</v>
      </c>
      <c r="B5" s="27"/>
      <c r="C5" s="31"/>
      <c r="D5" s="27"/>
      <c r="E5" s="14" t="s">
        <v>27</v>
      </c>
      <c r="F5" s="12"/>
      <c r="G5" s="13" t="s">
        <v>185</v>
      </c>
      <c r="H5" s="12"/>
      <c r="I5" s="14" t="s">
        <v>28</v>
      </c>
      <c r="J5" s="12"/>
      <c r="K5" s="32"/>
      <c r="L5" s="33"/>
      <c r="M5" s="34"/>
      <c r="N5" s="35"/>
      <c r="O5" s="34"/>
      <c r="P5" s="35"/>
      <c r="Q5" s="36" t="s">
        <v>29</v>
      </c>
      <c r="R5" s="27"/>
      <c r="S5" s="37"/>
      <c r="T5" s="27"/>
      <c r="U5" s="38" t="s">
        <v>30</v>
      </c>
      <c r="V5" s="22"/>
      <c r="W5" s="22"/>
      <c r="X5" s="23"/>
    </row>
    <row r="6" ht="15.75" customHeight="1">
      <c r="A6" s="39"/>
      <c r="B6" s="40"/>
      <c r="C6" s="41"/>
      <c r="D6" s="40"/>
      <c r="E6" s="42" t="s">
        <v>31</v>
      </c>
      <c r="F6" s="43"/>
      <c r="G6" s="44" t="s">
        <v>137</v>
      </c>
      <c r="H6" s="43"/>
      <c r="I6" s="42" t="s">
        <v>32</v>
      </c>
      <c r="J6" s="43"/>
      <c r="K6" s="45"/>
      <c r="L6" s="43"/>
      <c r="M6" s="41"/>
      <c r="N6" s="40"/>
      <c r="O6" s="41"/>
      <c r="P6" s="40"/>
      <c r="Q6" s="41"/>
      <c r="R6" s="40"/>
      <c r="S6" s="41"/>
      <c r="T6" s="40"/>
      <c r="U6" s="46" t="s">
        <v>33</v>
      </c>
      <c r="V6" s="47"/>
      <c r="W6" s="47"/>
      <c r="X6" s="48"/>
    </row>
    <row r="7" ht="15.75" customHeight="1">
      <c r="A7" s="49" t="s">
        <v>311</v>
      </c>
      <c r="B7" s="50"/>
      <c r="C7" s="50"/>
      <c r="D7" s="50"/>
      <c r="E7" s="50"/>
      <c r="F7" s="50"/>
      <c r="G7" s="50"/>
      <c r="H7" s="50"/>
      <c r="I7" s="50"/>
      <c r="J7" s="50"/>
      <c r="K7" s="50"/>
      <c r="L7" s="50"/>
      <c r="M7" s="50"/>
      <c r="N7" s="50"/>
      <c r="O7" s="50"/>
      <c r="P7" s="50"/>
      <c r="Q7" s="50"/>
      <c r="R7" s="50"/>
      <c r="S7" s="50"/>
      <c r="T7" s="50"/>
      <c r="U7" s="50"/>
      <c r="V7" s="50"/>
      <c r="W7" s="50"/>
      <c r="X7" s="51"/>
    </row>
    <row r="8" ht="15.75" customHeight="1">
      <c r="A8" s="49" t="s">
        <v>312</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313</v>
      </c>
      <c r="B9" s="50"/>
      <c r="C9" s="50"/>
      <c r="D9" s="50"/>
      <c r="E9" s="50"/>
      <c r="F9" s="50"/>
      <c r="G9" s="50"/>
      <c r="H9" s="50"/>
      <c r="I9" s="50"/>
      <c r="J9" s="50"/>
      <c r="K9" s="50"/>
      <c r="L9" s="50"/>
      <c r="M9" s="50"/>
      <c r="N9" s="50"/>
      <c r="O9" s="50"/>
      <c r="P9" s="50"/>
      <c r="Q9" s="50"/>
      <c r="R9" s="50"/>
      <c r="S9" s="50"/>
      <c r="T9" s="50"/>
      <c r="U9" s="50"/>
      <c r="V9" s="50"/>
      <c r="W9" s="50"/>
      <c r="X9" s="51"/>
    </row>
    <row r="10" ht="15.75" customHeight="1">
      <c r="A10" s="102" t="s">
        <v>314</v>
      </c>
      <c r="B10" s="91"/>
      <c r="C10" s="91"/>
      <c r="D10" s="91"/>
      <c r="E10" s="91"/>
      <c r="F10" s="2"/>
      <c r="G10" s="90"/>
      <c r="H10" s="91"/>
      <c r="I10" s="91"/>
      <c r="J10" s="91"/>
      <c r="K10" s="91"/>
      <c r="L10" s="91"/>
      <c r="M10" s="91"/>
      <c r="N10" s="91"/>
      <c r="O10" s="91"/>
      <c r="P10" s="2"/>
      <c r="Q10" s="103" t="s">
        <v>315</v>
      </c>
      <c r="R10" s="2"/>
      <c r="S10" s="90"/>
      <c r="T10" s="91"/>
      <c r="U10" s="91"/>
      <c r="V10" s="91"/>
      <c r="W10" s="91"/>
      <c r="X10" s="92"/>
    </row>
    <row r="11" ht="15.75" customHeight="1">
      <c r="A11" s="105" t="s">
        <v>316</v>
      </c>
      <c r="B11" s="22"/>
      <c r="C11" s="22"/>
      <c r="D11" s="22"/>
      <c r="E11" s="22"/>
      <c r="F11" s="12"/>
      <c r="G11" s="94"/>
      <c r="H11" s="22"/>
      <c r="I11" s="22"/>
      <c r="J11" s="22"/>
      <c r="K11" s="22"/>
      <c r="L11" s="22"/>
      <c r="M11" s="22"/>
      <c r="N11" s="22"/>
      <c r="O11" s="22"/>
      <c r="P11" s="12"/>
      <c r="Q11" s="106" t="s">
        <v>317</v>
      </c>
      <c r="R11" s="12"/>
      <c r="S11" s="94"/>
      <c r="T11" s="22"/>
      <c r="U11" s="22"/>
      <c r="V11" s="22"/>
      <c r="W11" s="22"/>
      <c r="X11" s="23"/>
    </row>
    <row r="12" ht="15.75" customHeight="1">
      <c r="A12" s="108" t="s">
        <v>318</v>
      </c>
      <c r="B12" s="86"/>
      <c r="C12" s="86"/>
      <c r="D12" s="86"/>
      <c r="E12" s="86"/>
      <c r="F12" s="27"/>
      <c r="G12" s="109"/>
      <c r="H12" s="86"/>
      <c r="I12" s="86"/>
      <c r="J12" s="86"/>
      <c r="K12" s="86"/>
      <c r="L12" s="86"/>
      <c r="M12" s="86"/>
      <c r="N12" s="86"/>
      <c r="O12" s="86"/>
      <c r="P12" s="27"/>
      <c r="Q12" s="110"/>
      <c r="R12" s="27"/>
      <c r="S12" s="109"/>
      <c r="T12" s="86"/>
      <c r="U12" s="86"/>
      <c r="V12" s="86"/>
      <c r="W12" s="86"/>
      <c r="X12" s="87"/>
    </row>
    <row r="13" ht="15.75" customHeight="1">
      <c r="A13" s="108" t="s">
        <v>319</v>
      </c>
      <c r="B13" s="86"/>
      <c r="C13" s="86"/>
      <c r="D13" s="86"/>
      <c r="E13" s="86"/>
      <c r="F13" s="27"/>
      <c r="G13" s="109"/>
      <c r="H13" s="86"/>
      <c r="I13" s="86"/>
      <c r="J13" s="86"/>
      <c r="K13" s="86"/>
      <c r="L13" s="86"/>
      <c r="M13" s="86"/>
      <c r="N13" s="86"/>
      <c r="O13" s="86"/>
      <c r="P13" s="27"/>
      <c r="Q13" s="110"/>
      <c r="R13" s="27"/>
      <c r="S13" s="109"/>
      <c r="T13" s="86"/>
      <c r="U13" s="86"/>
      <c r="V13" s="86"/>
      <c r="W13" s="86"/>
      <c r="X13" s="87"/>
    </row>
    <row r="14" ht="15.75" customHeight="1">
      <c r="A14" s="49"/>
      <c r="B14" s="50"/>
      <c r="C14" s="50"/>
      <c r="D14" s="50"/>
      <c r="E14" s="50"/>
      <c r="F14" s="50"/>
      <c r="G14" s="50"/>
      <c r="H14" s="50"/>
      <c r="I14" s="50"/>
      <c r="J14" s="50"/>
      <c r="K14" s="50"/>
      <c r="L14" s="50"/>
      <c r="M14" s="50"/>
      <c r="N14" s="50"/>
      <c r="O14" s="50"/>
      <c r="P14" s="50"/>
      <c r="Q14" s="50"/>
      <c r="R14" s="50"/>
      <c r="S14" s="50"/>
      <c r="T14" s="50"/>
      <c r="U14" s="50"/>
      <c r="V14" s="50"/>
      <c r="W14" s="50"/>
      <c r="X14" s="51"/>
    </row>
    <row r="15" ht="15.75" customHeight="1">
      <c r="A15" s="53" t="s">
        <v>320</v>
      </c>
      <c r="B15" s="50"/>
      <c r="C15" s="50"/>
      <c r="D15" s="50"/>
      <c r="E15" s="50"/>
      <c r="F15" s="50"/>
      <c r="G15" s="50"/>
      <c r="H15" s="50"/>
      <c r="I15" s="50"/>
      <c r="J15" s="50"/>
      <c r="K15" s="50"/>
      <c r="L15" s="50"/>
      <c r="M15" s="50"/>
      <c r="N15" s="50"/>
      <c r="O15" s="50"/>
      <c r="P15" s="50"/>
      <c r="Q15" s="50"/>
      <c r="R15" s="50"/>
      <c r="S15" s="50"/>
      <c r="T15" s="50"/>
      <c r="U15" s="50"/>
      <c r="V15" s="50"/>
      <c r="W15" s="50"/>
      <c r="X15" s="51"/>
    </row>
    <row r="16" ht="15.75" customHeight="1">
      <c r="A16" s="192" t="s">
        <v>321</v>
      </c>
      <c r="B16" s="83"/>
      <c r="C16" s="83"/>
      <c r="D16" s="83"/>
      <c r="E16" s="83"/>
      <c r="F16" s="83"/>
      <c r="G16" s="83"/>
      <c r="H16" s="83"/>
      <c r="I16" s="83"/>
      <c r="J16" s="83"/>
      <c r="K16" s="83"/>
      <c r="L16" s="83"/>
      <c r="M16" s="83"/>
      <c r="N16" s="83"/>
      <c r="O16" s="83"/>
      <c r="P16" s="83"/>
      <c r="Q16" s="83"/>
      <c r="R16" s="83"/>
      <c r="S16" s="83"/>
      <c r="T16" s="83"/>
      <c r="U16" s="83"/>
      <c r="V16" s="83"/>
      <c r="W16" s="83"/>
      <c r="X16" s="193"/>
    </row>
    <row r="17" ht="15.75" customHeight="1">
      <c r="A17" s="194"/>
      <c r="B17" s="83"/>
      <c r="C17" s="83"/>
      <c r="D17" s="83"/>
      <c r="E17" s="83"/>
      <c r="F17" s="83"/>
      <c r="G17" s="83"/>
      <c r="H17" s="83"/>
      <c r="I17" s="83"/>
      <c r="J17" s="83"/>
      <c r="K17" s="83"/>
      <c r="L17" s="83"/>
      <c r="M17" s="83"/>
      <c r="N17" s="83"/>
      <c r="O17" s="83"/>
      <c r="P17" s="83"/>
      <c r="Q17" s="83"/>
      <c r="R17" s="83"/>
      <c r="S17" s="83"/>
      <c r="T17" s="83"/>
      <c r="U17" s="83"/>
      <c r="V17" s="83"/>
      <c r="W17" s="83"/>
      <c r="X17" s="193"/>
    </row>
    <row r="18" ht="35.25" customHeight="1">
      <c r="A18" s="195" t="s">
        <v>322</v>
      </c>
      <c r="X18" s="80"/>
    </row>
    <row r="19" ht="15.75" customHeight="1">
      <c r="A19" s="194"/>
      <c r="B19" s="83"/>
      <c r="C19" s="83"/>
      <c r="D19" s="83"/>
      <c r="E19" s="83"/>
      <c r="F19" s="83"/>
      <c r="G19" s="83"/>
      <c r="H19" s="83"/>
      <c r="I19" s="83"/>
      <c r="J19" s="83"/>
      <c r="K19" s="83"/>
      <c r="L19" s="83"/>
      <c r="M19" s="83"/>
      <c r="N19" s="83"/>
      <c r="O19" s="83"/>
      <c r="P19" s="83"/>
      <c r="Q19" s="83"/>
      <c r="R19" s="83"/>
      <c r="S19" s="83"/>
      <c r="T19" s="83"/>
      <c r="U19" s="83"/>
      <c r="V19" s="83"/>
      <c r="W19" s="83"/>
      <c r="X19" s="193"/>
    </row>
    <row r="20" ht="15.75" customHeight="1">
      <c r="A20" s="196" t="s">
        <v>323</v>
      </c>
      <c r="B20" s="83"/>
      <c r="C20" s="83"/>
      <c r="D20" s="83"/>
      <c r="E20" s="83"/>
      <c r="F20" s="83"/>
      <c r="G20" s="83"/>
      <c r="H20" s="83"/>
      <c r="I20" s="83"/>
      <c r="J20" s="83"/>
      <c r="K20" s="83"/>
      <c r="L20" s="83"/>
      <c r="M20" s="83"/>
      <c r="N20" s="83"/>
      <c r="O20" s="83"/>
      <c r="P20" s="83"/>
      <c r="Q20" s="83"/>
      <c r="R20" s="83"/>
      <c r="S20" s="83"/>
      <c r="T20" s="83"/>
      <c r="U20" s="83"/>
      <c r="V20" s="83"/>
      <c r="W20" s="83"/>
      <c r="X20" s="193"/>
    </row>
    <row r="21" ht="15.75" customHeight="1">
      <c r="A21" s="194"/>
      <c r="B21" s="83"/>
      <c r="C21" s="83"/>
      <c r="D21" s="83"/>
      <c r="E21" s="83"/>
      <c r="F21" s="83"/>
      <c r="G21" s="83"/>
      <c r="H21" s="83"/>
      <c r="I21" s="83"/>
      <c r="J21" s="83"/>
      <c r="K21" s="83"/>
      <c r="L21" s="83"/>
      <c r="M21" s="83"/>
      <c r="N21" s="83"/>
      <c r="O21" s="83"/>
      <c r="P21" s="83"/>
      <c r="Q21" s="83"/>
      <c r="R21" s="83"/>
      <c r="S21" s="83"/>
      <c r="T21" s="83"/>
      <c r="U21" s="83"/>
      <c r="V21" s="83"/>
      <c r="W21" s="83"/>
      <c r="X21" s="193"/>
    </row>
    <row r="22" ht="44.25" customHeight="1">
      <c r="A22" s="195" t="s">
        <v>324</v>
      </c>
      <c r="X22" s="80"/>
    </row>
    <row r="23" ht="15.75" customHeight="1">
      <c r="A23" s="194"/>
      <c r="B23" s="197"/>
      <c r="C23" s="197"/>
      <c r="D23" s="197"/>
      <c r="E23" s="197"/>
      <c r="F23" s="197"/>
      <c r="G23" s="197"/>
      <c r="H23" s="197"/>
      <c r="I23" s="197"/>
      <c r="J23" s="197"/>
      <c r="K23" s="197"/>
      <c r="L23" s="197"/>
      <c r="M23" s="197"/>
      <c r="N23" s="197"/>
      <c r="O23" s="197"/>
      <c r="P23" s="197"/>
      <c r="Q23" s="197"/>
      <c r="R23" s="197"/>
      <c r="S23" s="197"/>
      <c r="T23" s="197"/>
      <c r="U23" s="197"/>
      <c r="V23" s="197"/>
      <c r="W23" s="197"/>
      <c r="X23" s="198"/>
    </row>
    <row r="24" ht="15.75" customHeight="1">
      <c r="A24" s="192" t="s">
        <v>325</v>
      </c>
      <c r="B24" s="197"/>
      <c r="C24" s="197"/>
      <c r="D24" s="197"/>
      <c r="E24" s="197"/>
      <c r="F24" s="197"/>
      <c r="G24" s="197"/>
      <c r="H24" s="197"/>
      <c r="I24" s="197"/>
      <c r="J24" s="197"/>
      <c r="K24" s="197"/>
      <c r="L24" s="197"/>
      <c r="M24" s="197"/>
      <c r="N24" s="197"/>
      <c r="O24" s="197"/>
      <c r="P24" s="197"/>
      <c r="Q24" s="197"/>
      <c r="R24" s="197"/>
      <c r="S24" s="197"/>
      <c r="T24" s="197"/>
      <c r="U24" s="197"/>
      <c r="V24" s="197"/>
      <c r="W24" s="197"/>
      <c r="X24" s="198"/>
    </row>
    <row r="25" ht="15.75" customHeight="1">
      <c r="A25" s="192" t="s">
        <v>326</v>
      </c>
      <c r="B25" s="83"/>
      <c r="C25" s="83"/>
      <c r="D25" s="83"/>
      <c r="E25" s="83"/>
      <c r="F25" s="83"/>
      <c r="G25" s="83"/>
      <c r="H25" s="83"/>
      <c r="I25" s="83"/>
      <c r="J25" s="83"/>
      <c r="K25" s="83"/>
      <c r="L25" s="83"/>
      <c r="M25" s="83"/>
      <c r="N25" s="83"/>
      <c r="O25" s="83"/>
      <c r="P25" s="83"/>
      <c r="Q25" s="83"/>
      <c r="R25" s="83"/>
      <c r="S25" s="83"/>
      <c r="T25" s="83"/>
      <c r="U25" s="83"/>
      <c r="V25" s="83"/>
      <c r="W25" s="83"/>
      <c r="X25" s="193"/>
    </row>
    <row r="26" ht="15.75" customHeight="1">
      <c r="A26" s="194"/>
      <c r="B26" s="83"/>
      <c r="C26" s="83"/>
      <c r="D26" s="83"/>
      <c r="E26" s="83"/>
      <c r="F26" s="83"/>
      <c r="G26" s="83"/>
      <c r="H26" s="83"/>
      <c r="I26" s="83"/>
      <c r="J26" s="83"/>
      <c r="K26" s="83"/>
      <c r="L26" s="83"/>
      <c r="M26" s="83"/>
      <c r="N26" s="83"/>
      <c r="O26" s="83"/>
      <c r="P26" s="83"/>
      <c r="Q26" s="83"/>
      <c r="R26" s="83"/>
      <c r="S26" s="83"/>
      <c r="T26" s="83"/>
      <c r="U26" s="83"/>
      <c r="V26" s="83"/>
      <c r="W26" s="83"/>
      <c r="X26" s="193"/>
    </row>
    <row r="27" ht="15.75" customHeight="1">
      <c r="A27" s="192" t="s">
        <v>327</v>
      </c>
      <c r="B27" s="83"/>
      <c r="C27" s="83"/>
      <c r="D27" s="83"/>
      <c r="E27" s="83"/>
      <c r="F27" s="83"/>
      <c r="G27" s="83"/>
      <c r="H27" s="83"/>
      <c r="I27" s="83"/>
      <c r="J27" s="83"/>
      <c r="K27" s="83"/>
      <c r="L27" s="83"/>
      <c r="M27" s="83"/>
      <c r="N27" s="83"/>
      <c r="O27" s="83"/>
      <c r="P27" s="83"/>
      <c r="Q27" s="83"/>
      <c r="R27" s="83"/>
      <c r="S27" s="83"/>
      <c r="T27" s="83"/>
      <c r="U27" s="83"/>
      <c r="V27" s="83"/>
      <c r="W27" s="83"/>
      <c r="X27" s="193"/>
    </row>
    <row r="28" ht="15.75" customHeight="1">
      <c r="A28" s="194"/>
      <c r="B28" s="83"/>
      <c r="C28" s="83"/>
      <c r="D28" s="83"/>
      <c r="E28" s="83"/>
      <c r="F28" s="83"/>
      <c r="G28" s="83"/>
      <c r="H28" s="83"/>
      <c r="I28" s="83"/>
      <c r="J28" s="83"/>
      <c r="K28" s="83"/>
      <c r="L28" s="83"/>
      <c r="M28" s="83"/>
      <c r="N28" s="83"/>
      <c r="O28" s="83"/>
      <c r="P28" s="83"/>
      <c r="Q28" s="83"/>
      <c r="R28" s="83"/>
      <c r="S28" s="83"/>
      <c r="T28" s="83"/>
      <c r="U28" s="83"/>
      <c r="V28" s="83"/>
      <c r="W28" s="83"/>
      <c r="X28" s="193"/>
    </row>
    <row r="29" ht="15.75" customHeight="1">
      <c r="A29" s="192" t="s">
        <v>328</v>
      </c>
      <c r="B29" s="83"/>
      <c r="C29" s="83"/>
      <c r="D29" s="83"/>
      <c r="E29" s="83"/>
      <c r="F29" s="83"/>
      <c r="G29" s="83"/>
      <c r="H29" s="83"/>
      <c r="I29" s="83"/>
      <c r="J29" s="83"/>
      <c r="K29" s="83"/>
      <c r="L29" s="83"/>
      <c r="M29" s="83"/>
      <c r="N29" s="83"/>
      <c r="O29" s="83"/>
      <c r="P29" s="83"/>
      <c r="Q29" s="83"/>
      <c r="R29" s="83"/>
      <c r="S29" s="83"/>
      <c r="T29" s="83"/>
      <c r="U29" s="83"/>
      <c r="V29" s="83"/>
      <c r="W29" s="83"/>
      <c r="X29" s="193"/>
    </row>
    <row r="30" ht="15.75" customHeight="1">
      <c r="A30" s="83" t="s">
        <v>180</v>
      </c>
      <c r="X30" s="80"/>
    </row>
    <row r="31" ht="15.75" customHeight="1">
      <c r="A31" s="83" t="s">
        <v>180</v>
      </c>
      <c r="X31" s="80"/>
    </row>
    <row r="32" ht="15.75" customHeight="1">
      <c r="A32" s="83" t="s">
        <v>180</v>
      </c>
      <c r="X32" s="80"/>
    </row>
    <row r="33" ht="15.75" customHeight="1">
      <c r="A33" s="83"/>
      <c r="X33" s="80"/>
    </row>
    <row r="34" ht="15.75" customHeight="1">
      <c r="A34" s="83" t="s">
        <v>180</v>
      </c>
      <c r="X34" s="80"/>
    </row>
    <row r="35" ht="15.75" customHeight="1">
      <c r="A35" s="83" t="s">
        <v>180</v>
      </c>
      <c r="X35" s="80"/>
    </row>
    <row r="36" ht="15.75" customHeight="1">
      <c r="A36" s="156" t="s">
        <v>329</v>
      </c>
      <c r="B36" s="50"/>
      <c r="C36" s="50"/>
      <c r="D36" s="50"/>
      <c r="E36" s="50"/>
      <c r="F36" s="50"/>
      <c r="G36" s="50"/>
      <c r="H36" s="50"/>
      <c r="I36" s="50"/>
      <c r="J36" s="50"/>
      <c r="K36" s="50"/>
      <c r="L36" s="50"/>
      <c r="M36" s="50"/>
      <c r="N36" s="50"/>
      <c r="O36" s="50"/>
      <c r="P36" s="50"/>
      <c r="Q36" s="50"/>
      <c r="R36" s="50"/>
      <c r="S36" s="50"/>
      <c r="T36" s="50"/>
      <c r="U36" s="50"/>
      <c r="V36" s="50"/>
      <c r="W36" s="50"/>
      <c r="X36" s="51"/>
    </row>
    <row r="37" ht="15.75" customHeight="1">
      <c r="A37" s="157" t="s">
        <v>330</v>
      </c>
      <c r="B37" s="81"/>
      <c r="C37" s="82"/>
      <c r="D37" s="158" t="s">
        <v>224</v>
      </c>
      <c r="E37" s="81"/>
      <c r="F37" s="81"/>
      <c r="G37" s="81"/>
      <c r="H37" s="81"/>
      <c r="I37" s="81"/>
      <c r="J37" s="81"/>
      <c r="K37" s="81"/>
      <c r="L37" s="81"/>
      <c r="M37" s="159"/>
      <c r="N37" s="50"/>
      <c r="O37" s="51"/>
      <c r="P37" s="160"/>
      <c r="Q37" s="50"/>
      <c r="R37" s="50"/>
      <c r="S37" s="50"/>
      <c r="T37" s="50"/>
      <c r="U37" s="50"/>
      <c r="V37" s="50"/>
      <c r="W37" s="50"/>
      <c r="X37" s="51"/>
    </row>
    <row r="38" ht="15.75" customHeight="1">
      <c r="A38" s="161" t="s">
        <v>331</v>
      </c>
      <c r="B38" s="50"/>
      <c r="C38" s="51"/>
      <c r="D38" s="199" t="s">
        <v>332</v>
      </c>
      <c r="E38" s="50"/>
      <c r="F38" s="50"/>
      <c r="G38" s="50"/>
      <c r="H38" s="50"/>
      <c r="I38" s="50"/>
      <c r="J38" s="50"/>
      <c r="K38" s="50"/>
      <c r="L38" s="50"/>
      <c r="M38" s="159"/>
      <c r="N38" s="50"/>
      <c r="O38" s="51"/>
      <c r="P38" s="160"/>
      <c r="Q38" s="50"/>
      <c r="R38" s="50"/>
      <c r="S38" s="50"/>
      <c r="T38" s="50"/>
      <c r="U38" s="50"/>
      <c r="V38" s="50"/>
      <c r="W38" s="50"/>
      <c r="X38" s="51"/>
    </row>
    <row r="39" ht="15.75" customHeight="1">
      <c r="A39" s="161" t="s">
        <v>231</v>
      </c>
      <c r="B39" s="50"/>
      <c r="C39" s="51"/>
      <c r="D39" s="160" t="s">
        <v>232</v>
      </c>
      <c r="E39" s="50"/>
      <c r="F39" s="50"/>
      <c r="G39" s="50"/>
      <c r="H39" s="50"/>
      <c r="I39" s="50"/>
      <c r="J39" s="50"/>
      <c r="K39" s="50"/>
      <c r="L39" s="50"/>
      <c r="M39" s="159"/>
      <c r="N39" s="50"/>
      <c r="O39" s="51"/>
      <c r="P39" s="160"/>
      <c r="Q39" s="50"/>
      <c r="R39" s="50"/>
      <c r="S39" s="50"/>
      <c r="T39" s="50"/>
      <c r="U39" s="50"/>
      <c r="V39" s="50"/>
      <c r="W39" s="50"/>
      <c r="X39" s="51"/>
    </row>
    <row r="40" ht="15.75" customHeight="1">
      <c r="A40" s="53" t="s">
        <v>333</v>
      </c>
      <c r="B40" s="50"/>
      <c r="C40" s="50"/>
      <c r="D40" s="50"/>
      <c r="E40" s="50"/>
      <c r="F40" s="50"/>
      <c r="G40" s="50"/>
      <c r="H40" s="50"/>
      <c r="I40" s="50"/>
      <c r="J40" s="50"/>
      <c r="K40" s="50"/>
      <c r="L40" s="50"/>
      <c r="M40" s="50"/>
      <c r="N40" s="50"/>
      <c r="O40" s="50"/>
      <c r="P40" s="50"/>
      <c r="Q40" s="50"/>
      <c r="R40" s="50"/>
      <c r="S40" s="50"/>
      <c r="T40" s="50"/>
      <c r="U40" s="50"/>
      <c r="V40" s="50"/>
      <c r="W40" s="50"/>
      <c r="X40" s="51"/>
    </row>
    <row r="41" ht="15.75" customHeight="1">
      <c r="A41" s="77"/>
      <c r="B41" s="9"/>
      <c r="C41" s="9"/>
      <c r="D41" s="9"/>
      <c r="E41" s="9"/>
      <c r="F41" s="9"/>
      <c r="G41" s="9"/>
      <c r="H41" s="9"/>
      <c r="I41" s="9"/>
      <c r="J41" s="9"/>
      <c r="K41" s="9"/>
      <c r="L41" s="9"/>
      <c r="M41" s="9"/>
      <c r="N41" s="9"/>
      <c r="O41" s="9"/>
      <c r="P41" s="9"/>
      <c r="Q41" s="9"/>
      <c r="R41" s="9"/>
      <c r="S41" s="9"/>
      <c r="T41" s="9"/>
      <c r="U41" s="9"/>
      <c r="V41" s="9"/>
      <c r="W41" s="9"/>
      <c r="X41" s="10"/>
    </row>
    <row r="42" ht="15.75" customHeight="1">
      <c r="A42" s="79"/>
      <c r="X42" s="80"/>
    </row>
    <row r="43" ht="15.75" customHeight="1">
      <c r="A43" s="79"/>
      <c r="X43" s="80"/>
    </row>
    <row r="44" ht="15.75" customHeight="1">
      <c r="A44" s="79"/>
      <c r="X44" s="80"/>
    </row>
    <row r="45" ht="15.75" customHeight="1">
      <c r="A45" s="79"/>
      <c r="X45" s="80"/>
    </row>
    <row r="46" ht="15.75" customHeight="1">
      <c r="A46" s="39"/>
      <c r="B46" s="81"/>
      <c r="C46" s="81"/>
      <c r="D46" s="81"/>
      <c r="E46" s="81"/>
      <c r="F46" s="81"/>
      <c r="G46" s="81"/>
      <c r="H46" s="81"/>
      <c r="I46" s="81"/>
      <c r="J46" s="81"/>
      <c r="K46" s="81"/>
      <c r="L46" s="81"/>
      <c r="M46" s="81"/>
      <c r="N46" s="81"/>
      <c r="O46" s="81"/>
      <c r="P46" s="81"/>
      <c r="Q46" s="81"/>
      <c r="R46" s="81"/>
      <c r="S46" s="81"/>
      <c r="T46" s="81"/>
      <c r="U46" s="81"/>
      <c r="V46" s="81"/>
      <c r="W46" s="81"/>
      <c r="X46" s="8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01">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R10"/>
    <mergeCell ref="S10:X10"/>
    <mergeCell ref="E5:F5"/>
    <mergeCell ref="G5:H5"/>
    <mergeCell ref="A7:X7"/>
    <mergeCell ref="A8:X8"/>
    <mergeCell ref="A9:X9"/>
    <mergeCell ref="A10:F10"/>
    <mergeCell ref="G10:P10"/>
    <mergeCell ref="A11:F11"/>
    <mergeCell ref="G11:P11"/>
    <mergeCell ref="Q11:R11"/>
    <mergeCell ref="S11:X11"/>
    <mergeCell ref="G12:P12"/>
    <mergeCell ref="Q12:R12"/>
    <mergeCell ref="S12:X12"/>
    <mergeCell ref="A12:F12"/>
    <mergeCell ref="A13:F13"/>
    <mergeCell ref="G13:P13"/>
    <mergeCell ref="Q13:R13"/>
    <mergeCell ref="S13:X13"/>
    <mergeCell ref="A14:X14"/>
    <mergeCell ref="A15:X15"/>
    <mergeCell ref="D38:L38"/>
    <mergeCell ref="M38:O38"/>
    <mergeCell ref="A39:C39"/>
    <mergeCell ref="D39:L39"/>
    <mergeCell ref="M39:O39"/>
    <mergeCell ref="P39:X39"/>
    <mergeCell ref="A40:X40"/>
    <mergeCell ref="A41:X46"/>
    <mergeCell ref="A35:X35"/>
    <mergeCell ref="A36:X36"/>
    <mergeCell ref="A37:C37"/>
    <mergeCell ref="D37:L37"/>
    <mergeCell ref="M37:O37"/>
    <mergeCell ref="P37:X37"/>
    <mergeCell ref="A38:C38"/>
    <mergeCell ref="P38:X38"/>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8:X18"/>
    <mergeCell ref="A22:X22"/>
    <mergeCell ref="A30:X30"/>
    <mergeCell ref="A31:X31"/>
    <mergeCell ref="A32:X32"/>
    <mergeCell ref="A33:X33"/>
    <mergeCell ref="A34:X3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3" width="6.0"/>
  </cols>
  <sheetData>
    <row r="1" ht="15.75" customHeight="1">
      <c r="A1" s="1" t="s">
        <v>0</v>
      </c>
      <c r="B1" s="2"/>
      <c r="C1" s="3"/>
      <c r="D1" s="2"/>
      <c r="E1" s="4" t="s">
        <v>1</v>
      </c>
      <c r="F1" s="2"/>
      <c r="G1" s="3" t="s">
        <v>55</v>
      </c>
      <c r="H1" s="2"/>
      <c r="I1" s="4" t="s">
        <v>2</v>
      </c>
      <c r="J1" s="2"/>
      <c r="K1" s="5"/>
      <c r="L1" s="2"/>
      <c r="M1" s="6" t="s">
        <v>3</v>
      </c>
      <c r="N1" s="2"/>
      <c r="O1" s="7">
        <v>4.0</v>
      </c>
      <c r="P1" s="2"/>
      <c r="Q1" s="4" t="s">
        <v>4</v>
      </c>
      <c r="R1" s="2"/>
      <c r="S1" s="3" t="s">
        <v>105</v>
      </c>
      <c r="T1" s="2"/>
      <c r="U1" s="8"/>
      <c r="V1" s="9"/>
      <c r="W1" s="9"/>
      <c r="X1" s="10"/>
    </row>
    <row r="2" ht="15.75" customHeight="1">
      <c r="A2" s="11" t="s">
        <v>5</v>
      </c>
      <c r="B2" s="12"/>
      <c r="C2" s="13"/>
      <c r="D2" s="12"/>
      <c r="E2" s="14" t="s">
        <v>6</v>
      </c>
      <c r="F2" s="12"/>
      <c r="G2" s="13"/>
      <c r="H2" s="12"/>
      <c r="I2" s="14" t="s">
        <v>7</v>
      </c>
      <c r="J2" s="12"/>
      <c r="K2" s="15"/>
      <c r="L2" s="12"/>
      <c r="M2" s="16" t="s">
        <v>8</v>
      </c>
      <c r="N2" s="12"/>
      <c r="O2" s="13" t="s">
        <v>9</v>
      </c>
      <c r="P2" s="12"/>
      <c r="Q2" s="14" t="s">
        <v>10</v>
      </c>
      <c r="R2" s="12"/>
      <c r="S2" s="13" t="s">
        <v>185</v>
      </c>
      <c r="T2" s="12"/>
      <c r="U2" s="17"/>
      <c r="V2" s="18"/>
      <c r="W2" s="18"/>
      <c r="X2" s="19"/>
    </row>
    <row r="3" ht="15.75" customHeight="1">
      <c r="A3" s="11" t="s">
        <v>11</v>
      </c>
      <c r="B3" s="12"/>
      <c r="C3" s="13"/>
      <c r="D3" s="12"/>
      <c r="E3" s="14" t="s">
        <v>12</v>
      </c>
      <c r="F3" s="12"/>
      <c r="G3" s="13" t="s">
        <v>135</v>
      </c>
      <c r="H3" s="12"/>
      <c r="I3" s="14" t="s">
        <v>13</v>
      </c>
      <c r="J3" s="12"/>
      <c r="K3" s="20"/>
      <c r="L3" s="12"/>
      <c r="M3" s="16" t="s">
        <v>14</v>
      </c>
      <c r="N3" s="12"/>
      <c r="O3" s="13" t="s">
        <v>15</v>
      </c>
      <c r="P3" s="12"/>
      <c r="Q3" s="14" t="s">
        <v>16</v>
      </c>
      <c r="R3" s="12"/>
      <c r="S3" s="13" t="s">
        <v>57</v>
      </c>
      <c r="T3" s="12"/>
      <c r="U3" s="21" t="s">
        <v>17</v>
      </c>
      <c r="V3" s="22"/>
      <c r="W3" s="22"/>
      <c r="X3" s="23"/>
    </row>
    <row r="4" ht="15.75" customHeight="1">
      <c r="A4" s="11" t="s">
        <v>18</v>
      </c>
      <c r="B4" s="12"/>
      <c r="C4" s="13" t="s">
        <v>107</v>
      </c>
      <c r="D4" s="12"/>
      <c r="E4" s="14" t="s">
        <v>20</v>
      </c>
      <c r="F4" s="12"/>
      <c r="G4" s="13" t="s">
        <v>55</v>
      </c>
      <c r="H4" s="12"/>
      <c r="I4" s="14" t="s">
        <v>21</v>
      </c>
      <c r="J4" s="12"/>
      <c r="K4" s="24"/>
      <c r="L4" s="25"/>
      <c r="M4" s="26" t="s">
        <v>22</v>
      </c>
      <c r="N4" s="27"/>
      <c r="O4" s="28">
        <v>0.0</v>
      </c>
      <c r="P4" s="27"/>
      <c r="Q4" s="14" t="s">
        <v>23</v>
      </c>
      <c r="R4" s="12"/>
      <c r="S4" s="20"/>
      <c r="T4" s="12"/>
      <c r="U4" s="29" t="s">
        <v>24</v>
      </c>
      <c r="V4" s="22"/>
      <c r="W4" s="22"/>
      <c r="X4" s="23"/>
    </row>
    <row r="5" ht="15.75" customHeight="1">
      <c r="A5" s="30" t="s">
        <v>25</v>
      </c>
      <c r="B5" s="27"/>
      <c r="C5" s="31"/>
      <c r="D5" s="27"/>
      <c r="E5" s="14" t="s">
        <v>27</v>
      </c>
      <c r="F5" s="12"/>
      <c r="G5" s="13" t="s">
        <v>310</v>
      </c>
      <c r="H5" s="12"/>
      <c r="I5" s="14" t="s">
        <v>28</v>
      </c>
      <c r="J5" s="12"/>
      <c r="K5" s="32"/>
      <c r="L5" s="33"/>
      <c r="M5" s="34"/>
      <c r="N5" s="35"/>
      <c r="O5" s="34"/>
      <c r="P5" s="35"/>
      <c r="Q5" s="36" t="s">
        <v>29</v>
      </c>
      <c r="R5" s="27"/>
      <c r="S5" s="37"/>
      <c r="T5" s="27"/>
      <c r="U5" s="38" t="s">
        <v>30</v>
      </c>
      <c r="V5" s="22"/>
      <c r="W5" s="22"/>
      <c r="X5" s="23"/>
    </row>
    <row r="6" ht="15.75" customHeight="1">
      <c r="A6" s="39"/>
      <c r="B6" s="40"/>
      <c r="C6" s="41"/>
      <c r="D6" s="40"/>
      <c r="E6" s="42" t="s">
        <v>31</v>
      </c>
      <c r="F6" s="43"/>
      <c r="G6" s="44" t="s">
        <v>137</v>
      </c>
      <c r="H6" s="43"/>
      <c r="I6" s="42" t="s">
        <v>32</v>
      </c>
      <c r="J6" s="43"/>
      <c r="K6" s="45"/>
      <c r="L6" s="43"/>
      <c r="M6" s="41"/>
      <c r="N6" s="40"/>
      <c r="O6" s="41"/>
      <c r="P6" s="40"/>
      <c r="Q6" s="41"/>
      <c r="R6" s="40"/>
      <c r="S6" s="41"/>
      <c r="T6" s="40"/>
      <c r="U6" s="46" t="s">
        <v>33</v>
      </c>
      <c r="V6" s="47"/>
      <c r="W6" s="47"/>
      <c r="X6" s="48"/>
    </row>
    <row r="7" ht="15.75" customHeight="1">
      <c r="A7" s="49" t="s">
        <v>311</v>
      </c>
      <c r="B7" s="50"/>
      <c r="C7" s="50"/>
      <c r="D7" s="50"/>
      <c r="E7" s="50"/>
      <c r="F7" s="50"/>
      <c r="G7" s="50"/>
      <c r="H7" s="50"/>
      <c r="I7" s="50"/>
      <c r="J7" s="50"/>
      <c r="K7" s="50"/>
      <c r="L7" s="50"/>
      <c r="M7" s="50"/>
      <c r="N7" s="50"/>
      <c r="O7" s="50"/>
      <c r="P7" s="50"/>
      <c r="Q7" s="50"/>
      <c r="R7" s="50"/>
      <c r="S7" s="50"/>
      <c r="T7" s="50"/>
      <c r="U7" s="50"/>
      <c r="V7" s="50"/>
      <c r="W7" s="50"/>
      <c r="X7" s="51"/>
    </row>
    <row r="8" ht="15.75" customHeight="1">
      <c r="A8" s="49" t="s">
        <v>334</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335</v>
      </c>
      <c r="B9" s="50"/>
      <c r="C9" s="50"/>
      <c r="D9" s="50"/>
      <c r="E9" s="50"/>
      <c r="F9" s="50"/>
      <c r="G9" s="50"/>
      <c r="H9" s="50"/>
      <c r="I9" s="50"/>
      <c r="J9" s="50"/>
      <c r="K9" s="50"/>
      <c r="L9" s="50"/>
      <c r="M9" s="50"/>
      <c r="N9" s="50"/>
      <c r="O9" s="50"/>
      <c r="P9" s="50"/>
      <c r="Q9" s="50"/>
      <c r="R9" s="50"/>
      <c r="S9" s="50"/>
      <c r="T9" s="50"/>
      <c r="U9" s="50"/>
      <c r="V9" s="50"/>
      <c r="W9" s="50"/>
      <c r="X9" s="51"/>
    </row>
    <row r="10" ht="15.75" customHeight="1">
      <c r="A10" s="200" t="s">
        <v>336</v>
      </c>
      <c r="B10" s="9"/>
      <c r="C10" s="9"/>
      <c r="D10" s="9"/>
      <c r="E10" s="10"/>
      <c r="F10" s="200" t="s">
        <v>337</v>
      </c>
      <c r="G10" s="9"/>
      <c r="H10" s="9"/>
      <c r="I10" s="9"/>
      <c r="J10" s="10"/>
      <c r="K10" s="200" t="s">
        <v>338</v>
      </c>
      <c r="L10" s="9"/>
      <c r="M10" s="9"/>
      <c r="N10" s="9"/>
      <c r="O10" s="10"/>
      <c r="P10" s="200" t="s">
        <v>339</v>
      </c>
      <c r="Q10" s="9"/>
      <c r="R10" s="9"/>
      <c r="S10" s="9"/>
      <c r="T10" s="10"/>
      <c r="U10" s="200" t="s">
        <v>340</v>
      </c>
      <c r="V10" s="9"/>
      <c r="W10" s="9"/>
      <c r="X10" s="10"/>
    </row>
    <row r="11" ht="15.75" customHeight="1">
      <c r="A11" s="201"/>
      <c r="B11" s="91"/>
      <c r="C11" s="91"/>
      <c r="D11" s="91"/>
      <c r="E11" s="2"/>
      <c r="F11" s="90"/>
      <c r="G11" s="91"/>
      <c r="H11" s="91"/>
      <c r="I11" s="91"/>
      <c r="J11" s="2"/>
      <c r="K11" s="90"/>
      <c r="L11" s="91"/>
      <c r="M11" s="91"/>
      <c r="N11" s="91"/>
      <c r="O11" s="2"/>
      <c r="P11" s="90"/>
      <c r="Q11" s="91"/>
      <c r="R11" s="91"/>
      <c r="S11" s="91"/>
      <c r="T11" s="2"/>
      <c r="U11" s="90"/>
      <c r="V11" s="91"/>
      <c r="W11" s="91"/>
      <c r="X11" s="92"/>
    </row>
    <row r="12" ht="15.75" customHeight="1">
      <c r="A12" s="202"/>
      <c r="B12" s="22"/>
      <c r="C12" s="22"/>
      <c r="D12" s="22"/>
      <c r="E12" s="12"/>
      <c r="F12" s="94"/>
      <c r="G12" s="22"/>
      <c r="H12" s="22"/>
      <c r="I12" s="22"/>
      <c r="J12" s="12"/>
      <c r="K12" s="94"/>
      <c r="L12" s="22"/>
      <c r="M12" s="22"/>
      <c r="N12" s="22"/>
      <c r="O12" s="12"/>
      <c r="P12" s="94"/>
      <c r="Q12" s="22"/>
      <c r="R12" s="22"/>
      <c r="S12" s="22"/>
      <c r="T12" s="12"/>
      <c r="U12" s="94"/>
      <c r="V12" s="22"/>
      <c r="W12" s="22"/>
      <c r="X12" s="23"/>
    </row>
    <row r="13" ht="15.75" customHeight="1">
      <c r="A13" s="202"/>
      <c r="B13" s="22"/>
      <c r="C13" s="22"/>
      <c r="D13" s="22"/>
      <c r="E13" s="12"/>
      <c r="F13" s="94"/>
      <c r="G13" s="22"/>
      <c r="H13" s="22"/>
      <c r="I13" s="22"/>
      <c r="J13" s="12"/>
      <c r="K13" s="94"/>
      <c r="L13" s="22"/>
      <c r="M13" s="22"/>
      <c r="N13" s="22"/>
      <c r="O13" s="12"/>
      <c r="P13" s="94"/>
      <c r="Q13" s="22"/>
      <c r="R13" s="22"/>
      <c r="S13" s="22"/>
      <c r="T13" s="12"/>
      <c r="U13" s="94"/>
      <c r="V13" s="22"/>
      <c r="W13" s="22"/>
      <c r="X13" s="23"/>
    </row>
    <row r="14" ht="15.75" customHeight="1">
      <c r="A14" s="202"/>
      <c r="B14" s="22"/>
      <c r="C14" s="22"/>
      <c r="D14" s="22"/>
      <c r="E14" s="12"/>
      <c r="F14" s="94"/>
      <c r="G14" s="22"/>
      <c r="H14" s="22"/>
      <c r="I14" s="22"/>
      <c r="J14" s="12"/>
      <c r="K14" s="94"/>
      <c r="L14" s="22"/>
      <c r="M14" s="22"/>
      <c r="N14" s="22"/>
      <c r="O14" s="12"/>
      <c r="P14" s="94"/>
      <c r="Q14" s="22"/>
      <c r="R14" s="22"/>
      <c r="S14" s="22"/>
      <c r="T14" s="12"/>
      <c r="U14" s="94"/>
      <c r="V14" s="22"/>
      <c r="W14" s="22"/>
      <c r="X14" s="23"/>
    </row>
    <row r="15" ht="15.75" customHeight="1">
      <c r="A15" s="202"/>
      <c r="B15" s="22"/>
      <c r="C15" s="22"/>
      <c r="D15" s="22"/>
      <c r="E15" s="12"/>
      <c r="F15" s="94"/>
      <c r="G15" s="22"/>
      <c r="H15" s="22"/>
      <c r="I15" s="22"/>
      <c r="J15" s="12"/>
      <c r="K15" s="94"/>
      <c r="L15" s="22"/>
      <c r="M15" s="22"/>
      <c r="N15" s="22"/>
      <c r="O15" s="12"/>
      <c r="P15" s="94"/>
      <c r="Q15" s="22"/>
      <c r="R15" s="22"/>
      <c r="S15" s="22"/>
      <c r="T15" s="12"/>
      <c r="U15" s="94"/>
      <c r="V15" s="22"/>
      <c r="W15" s="22"/>
      <c r="X15" s="23"/>
    </row>
    <row r="16" ht="15.75" customHeight="1">
      <c r="A16" s="202"/>
      <c r="B16" s="22"/>
      <c r="C16" s="22"/>
      <c r="D16" s="22"/>
      <c r="E16" s="12"/>
      <c r="F16" s="94"/>
      <c r="G16" s="22"/>
      <c r="H16" s="22"/>
      <c r="I16" s="22"/>
      <c r="J16" s="12"/>
      <c r="K16" s="94"/>
      <c r="L16" s="22"/>
      <c r="M16" s="22"/>
      <c r="N16" s="22"/>
      <c r="O16" s="12"/>
      <c r="P16" s="94"/>
      <c r="Q16" s="22"/>
      <c r="R16" s="22"/>
      <c r="S16" s="22"/>
      <c r="T16" s="12"/>
      <c r="U16" s="94"/>
      <c r="V16" s="22"/>
      <c r="W16" s="22"/>
      <c r="X16" s="23"/>
    </row>
    <row r="17" ht="15.75" customHeight="1">
      <c r="A17" s="202"/>
      <c r="B17" s="22"/>
      <c r="C17" s="22"/>
      <c r="D17" s="22"/>
      <c r="E17" s="12"/>
      <c r="F17" s="94"/>
      <c r="G17" s="22"/>
      <c r="H17" s="22"/>
      <c r="I17" s="22"/>
      <c r="J17" s="12"/>
      <c r="K17" s="94"/>
      <c r="L17" s="22"/>
      <c r="M17" s="22"/>
      <c r="N17" s="22"/>
      <c r="O17" s="12"/>
      <c r="P17" s="94"/>
      <c r="Q17" s="22"/>
      <c r="R17" s="22"/>
      <c r="S17" s="22"/>
      <c r="T17" s="12"/>
      <c r="U17" s="94"/>
      <c r="V17" s="22"/>
      <c r="W17" s="22"/>
      <c r="X17" s="23"/>
    </row>
    <row r="18" ht="15.75" customHeight="1">
      <c r="A18" s="202"/>
      <c r="B18" s="22"/>
      <c r="C18" s="22"/>
      <c r="D18" s="22"/>
      <c r="E18" s="12"/>
      <c r="F18" s="94"/>
      <c r="G18" s="22"/>
      <c r="H18" s="22"/>
      <c r="I18" s="22"/>
      <c r="J18" s="12"/>
      <c r="K18" s="94"/>
      <c r="L18" s="22"/>
      <c r="M18" s="22"/>
      <c r="N18" s="22"/>
      <c r="O18" s="12"/>
      <c r="P18" s="94"/>
      <c r="Q18" s="22"/>
      <c r="R18" s="22"/>
      <c r="S18" s="22"/>
      <c r="T18" s="12"/>
      <c r="U18" s="94"/>
      <c r="V18" s="22"/>
      <c r="W18" s="22"/>
      <c r="X18" s="23"/>
    </row>
    <row r="19" ht="15.75" customHeight="1">
      <c r="A19" s="202"/>
      <c r="B19" s="22"/>
      <c r="C19" s="22"/>
      <c r="D19" s="22"/>
      <c r="E19" s="12"/>
      <c r="F19" s="94"/>
      <c r="G19" s="22"/>
      <c r="H19" s="22"/>
      <c r="I19" s="22"/>
      <c r="J19" s="12"/>
      <c r="K19" s="94"/>
      <c r="L19" s="22"/>
      <c r="M19" s="22"/>
      <c r="N19" s="22"/>
      <c r="O19" s="12"/>
      <c r="P19" s="94"/>
      <c r="Q19" s="22"/>
      <c r="R19" s="22"/>
      <c r="S19" s="22"/>
      <c r="T19" s="12"/>
      <c r="U19" s="94"/>
      <c r="V19" s="22"/>
      <c r="W19" s="22"/>
      <c r="X19" s="23"/>
    </row>
    <row r="20" ht="15.75" customHeight="1">
      <c r="A20" s="202"/>
      <c r="B20" s="22"/>
      <c r="C20" s="22"/>
      <c r="D20" s="22"/>
      <c r="E20" s="12"/>
      <c r="F20" s="94"/>
      <c r="G20" s="22"/>
      <c r="H20" s="22"/>
      <c r="I20" s="22"/>
      <c r="J20" s="12"/>
      <c r="K20" s="94"/>
      <c r="L20" s="22"/>
      <c r="M20" s="22"/>
      <c r="N20" s="22"/>
      <c r="O20" s="12"/>
      <c r="P20" s="94"/>
      <c r="Q20" s="22"/>
      <c r="R20" s="22"/>
      <c r="S20" s="22"/>
      <c r="T20" s="12"/>
      <c r="U20" s="94"/>
      <c r="V20" s="22"/>
      <c r="W20" s="22"/>
      <c r="X20" s="23"/>
    </row>
    <row r="21" ht="15.75" customHeight="1">
      <c r="A21" s="202"/>
      <c r="B21" s="22"/>
      <c r="C21" s="22"/>
      <c r="D21" s="22"/>
      <c r="E21" s="12"/>
      <c r="F21" s="94"/>
      <c r="G21" s="22"/>
      <c r="H21" s="22"/>
      <c r="I21" s="22"/>
      <c r="J21" s="12"/>
      <c r="K21" s="94"/>
      <c r="L21" s="22"/>
      <c r="M21" s="22"/>
      <c r="N21" s="22"/>
      <c r="O21" s="12"/>
      <c r="P21" s="94"/>
      <c r="Q21" s="22"/>
      <c r="R21" s="22"/>
      <c r="S21" s="22"/>
      <c r="T21" s="12"/>
      <c r="U21" s="94"/>
      <c r="V21" s="22"/>
      <c r="W21" s="22"/>
      <c r="X21" s="23"/>
    </row>
    <row r="22" ht="15.75" customHeight="1">
      <c r="A22" s="202"/>
      <c r="B22" s="22"/>
      <c r="C22" s="22"/>
      <c r="D22" s="22"/>
      <c r="E22" s="12"/>
      <c r="F22" s="94"/>
      <c r="G22" s="22"/>
      <c r="H22" s="22"/>
      <c r="I22" s="22"/>
      <c r="J22" s="12"/>
      <c r="K22" s="94"/>
      <c r="L22" s="22"/>
      <c r="M22" s="22"/>
      <c r="N22" s="22"/>
      <c r="O22" s="12"/>
      <c r="P22" s="94"/>
      <c r="Q22" s="22"/>
      <c r="R22" s="22"/>
      <c r="S22" s="22"/>
      <c r="T22" s="12"/>
      <c r="U22" s="94"/>
      <c r="V22" s="22"/>
      <c r="W22" s="22"/>
      <c r="X22" s="23"/>
    </row>
    <row r="23" ht="15.75" customHeight="1">
      <c r="A23" s="202"/>
      <c r="B23" s="22"/>
      <c r="C23" s="22"/>
      <c r="D23" s="22"/>
      <c r="E23" s="12"/>
      <c r="F23" s="94"/>
      <c r="G23" s="22"/>
      <c r="H23" s="22"/>
      <c r="I23" s="22"/>
      <c r="J23" s="12"/>
      <c r="K23" s="94"/>
      <c r="L23" s="22"/>
      <c r="M23" s="22"/>
      <c r="N23" s="22"/>
      <c r="O23" s="12"/>
      <c r="P23" s="94"/>
      <c r="Q23" s="22"/>
      <c r="R23" s="22"/>
      <c r="S23" s="22"/>
      <c r="T23" s="12"/>
      <c r="U23" s="94"/>
      <c r="V23" s="22"/>
      <c r="W23" s="22"/>
      <c r="X23" s="23"/>
    </row>
    <row r="24" ht="15.75" customHeight="1">
      <c r="A24" s="202"/>
      <c r="B24" s="22"/>
      <c r="C24" s="22"/>
      <c r="D24" s="22"/>
      <c r="E24" s="12"/>
      <c r="F24" s="94"/>
      <c r="G24" s="22"/>
      <c r="H24" s="22"/>
      <c r="I24" s="22"/>
      <c r="J24" s="12"/>
      <c r="K24" s="94"/>
      <c r="L24" s="22"/>
      <c r="M24" s="22"/>
      <c r="N24" s="22"/>
      <c r="O24" s="12"/>
      <c r="P24" s="94"/>
      <c r="Q24" s="22"/>
      <c r="R24" s="22"/>
      <c r="S24" s="22"/>
      <c r="T24" s="12"/>
      <c r="U24" s="94"/>
      <c r="V24" s="22"/>
      <c r="W24" s="22"/>
      <c r="X24" s="23"/>
    </row>
    <row r="25" ht="15.75" customHeight="1">
      <c r="A25" s="202"/>
      <c r="B25" s="22"/>
      <c r="C25" s="22"/>
      <c r="D25" s="22"/>
      <c r="E25" s="12"/>
      <c r="F25" s="94"/>
      <c r="G25" s="22"/>
      <c r="H25" s="22"/>
      <c r="I25" s="22"/>
      <c r="J25" s="12"/>
      <c r="K25" s="94"/>
      <c r="L25" s="22"/>
      <c r="M25" s="22"/>
      <c r="N25" s="22"/>
      <c r="O25" s="12"/>
      <c r="P25" s="94"/>
      <c r="Q25" s="22"/>
      <c r="R25" s="22"/>
      <c r="S25" s="22"/>
      <c r="T25" s="12"/>
      <c r="U25" s="94"/>
      <c r="V25" s="22"/>
      <c r="W25" s="22"/>
      <c r="X25" s="23"/>
    </row>
    <row r="26" ht="15.75" customHeight="1">
      <c r="A26" s="202"/>
      <c r="B26" s="22"/>
      <c r="C26" s="22"/>
      <c r="D26" s="22"/>
      <c r="E26" s="12"/>
      <c r="F26" s="94"/>
      <c r="G26" s="22"/>
      <c r="H26" s="22"/>
      <c r="I26" s="22"/>
      <c r="J26" s="12"/>
      <c r="K26" s="94"/>
      <c r="L26" s="22"/>
      <c r="M26" s="22"/>
      <c r="N26" s="22"/>
      <c r="O26" s="12"/>
      <c r="P26" s="94"/>
      <c r="Q26" s="22"/>
      <c r="R26" s="22"/>
      <c r="S26" s="22"/>
      <c r="T26" s="12"/>
      <c r="U26" s="94"/>
      <c r="V26" s="22"/>
      <c r="W26" s="22"/>
      <c r="X26" s="23"/>
    </row>
    <row r="27" ht="15.75" customHeight="1">
      <c r="A27" s="202"/>
      <c r="B27" s="22"/>
      <c r="C27" s="22"/>
      <c r="D27" s="22"/>
      <c r="E27" s="12"/>
      <c r="F27" s="94"/>
      <c r="G27" s="22"/>
      <c r="H27" s="22"/>
      <c r="I27" s="22"/>
      <c r="J27" s="12"/>
      <c r="K27" s="94"/>
      <c r="L27" s="22"/>
      <c r="M27" s="22"/>
      <c r="N27" s="22"/>
      <c r="O27" s="12"/>
      <c r="P27" s="94"/>
      <c r="Q27" s="22"/>
      <c r="R27" s="22"/>
      <c r="S27" s="22"/>
      <c r="T27" s="12"/>
      <c r="U27" s="94"/>
      <c r="V27" s="22"/>
      <c r="W27" s="22"/>
      <c r="X27" s="23"/>
    </row>
    <row r="28" ht="15.75" customHeight="1">
      <c r="A28" s="202"/>
      <c r="B28" s="22"/>
      <c r="C28" s="22"/>
      <c r="D28" s="22"/>
      <c r="E28" s="12"/>
      <c r="F28" s="94"/>
      <c r="G28" s="22"/>
      <c r="H28" s="22"/>
      <c r="I28" s="22"/>
      <c r="J28" s="12"/>
      <c r="K28" s="94"/>
      <c r="L28" s="22"/>
      <c r="M28" s="22"/>
      <c r="N28" s="22"/>
      <c r="O28" s="12"/>
      <c r="P28" s="94"/>
      <c r="Q28" s="22"/>
      <c r="R28" s="22"/>
      <c r="S28" s="22"/>
      <c r="T28" s="12"/>
      <c r="U28" s="94"/>
      <c r="V28" s="22"/>
      <c r="W28" s="22"/>
      <c r="X28" s="23"/>
    </row>
    <row r="29" ht="15.75" customHeight="1">
      <c r="A29" s="203"/>
      <c r="B29" s="47"/>
      <c r="C29" s="47"/>
      <c r="D29" s="47"/>
      <c r="E29" s="43"/>
      <c r="F29" s="98"/>
      <c r="G29" s="47"/>
      <c r="H29" s="47"/>
      <c r="I29" s="47"/>
      <c r="J29" s="43"/>
      <c r="K29" s="98"/>
      <c r="L29" s="47"/>
      <c r="M29" s="47"/>
      <c r="N29" s="47"/>
      <c r="O29" s="43"/>
      <c r="P29" s="98"/>
      <c r="Q29" s="47"/>
      <c r="R29" s="47"/>
      <c r="S29" s="47"/>
      <c r="T29" s="43"/>
      <c r="U29" s="98"/>
      <c r="V29" s="47"/>
      <c r="W29" s="47"/>
      <c r="X29" s="48"/>
    </row>
    <row r="30" ht="15.75" customHeight="1">
      <c r="A30" s="160" t="s">
        <v>341</v>
      </c>
      <c r="B30" s="50"/>
      <c r="C30" s="50"/>
      <c r="D30" s="50"/>
      <c r="E30" s="50"/>
      <c r="F30" s="50"/>
      <c r="G30" s="50"/>
      <c r="H30" s="50"/>
      <c r="I30" s="50"/>
      <c r="J30" s="50"/>
      <c r="K30" s="50"/>
      <c r="L30" s="50"/>
      <c r="M30" s="50"/>
      <c r="N30" s="50"/>
      <c r="O30" s="50"/>
      <c r="P30" s="50"/>
      <c r="Q30" s="50"/>
      <c r="R30" s="50"/>
      <c r="S30" s="50"/>
      <c r="T30" s="50"/>
      <c r="U30" s="50"/>
      <c r="V30" s="50"/>
      <c r="W30" s="50"/>
      <c r="X30" s="51"/>
    </row>
    <row r="31" ht="15.75" customHeight="1">
      <c r="A31" s="83" t="s">
        <v>342</v>
      </c>
      <c r="X31" s="80"/>
    </row>
    <row r="32" ht="15.75" customHeight="1">
      <c r="A32" s="83" t="s">
        <v>343</v>
      </c>
      <c r="X32" s="80"/>
    </row>
    <row r="33" ht="15.75" customHeight="1">
      <c r="A33" s="83" t="s">
        <v>344</v>
      </c>
      <c r="X33" s="80"/>
    </row>
    <row r="34" ht="15.75" customHeight="1">
      <c r="A34" s="83" t="s">
        <v>345</v>
      </c>
      <c r="X34" s="80"/>
    </row>
    <row r="35" ht="15.75" customHeight="1">
      <c r="A35" s="83" t="s">
        <v>346</v>
      </c>
      <c r="X35" s="80"/>
    </row>
    <row r="36" ht="15.75" customHeight="1">
      <c r="A36" s="83" t="s">
        <v>347</v>
      </c>
      <c r="X36" s="80"/>
    </row>
    <row r="37" ht="15.75" customHeight="1">
      <c r="A37" s="83" t="s">
        <v>348</v>
      </c>
      <c r="X37" s="80"/>
    </row>
    <row r="38" ht="15.75" customHeight="1">
      <c r="A38" s="83" t="s">
        <v>349</v>
      </c>
      <c r="X38" s="80"/>
    </row>
    <row r="39" ht="15.75" customHeight="1">
      <c r="A39" s="83" t="s">
        <v>350</v>
      </c>
      <c r="X39" s="80"/>
    </row>
    <row r="40" ht="15.75" customHeight="1">
      <c r="A40" s="83" t="s">
        <v>328</v>
      </c>
      <c r="X40" s="80"/>
    </row>
    <row r="41" ht="15.75" customHeight="1">
      <c r="A41" s="156" t="s">
        <v>351</v>
      </c>
      <c r="B41" s="50"/>
      <c r="C41" s="50"/>
      <c r="D41" s="50"/>
      <c r="E41" s="50"/>
      <c r="F41" s="50"/>
      <c r="G41" s="50"/>
      <c r="H41" s="50"/>
      <c r="I41" s="50"/>
      <c r="J41" s="50"/>
      <c r="K41" s="50"/>
      <c r="L41" s="50"/>
      <c r="M41" s="50"/>
      <c r="N41" s="50"/>
      <c r="O41" s="50"/>
      <c r="P41" s="50"/>
      <c r="Q41" s="50"/>
      <c r="R41" s="50"/>
      <c r="S41" s="50"/>
      <c r="T41" s="50"/>
      <c r="U41" s="50"/>
      <c r="V41" s="50"/>
      <c r="W41" s="50"/>
      <c r="X41" s="51"/>
    </row>
    <row r="42" ht="15.75" customHeight="1">
      <c r="A42" s="157" t="s">
        <v>352</v>
      </c>
      <c r="B42" s="81"/>
      <c r="C42" s="81"/>
      <c r="D42" s="81"/>
      <c r="E42" s="81"/>
      <c r="F42" s="82"/>
      <c r="G42" s="204"/>
      <c r="H42" s="81"/>
      <c r="I42" s="81"/>
      <c r="J42" s="81"/>
      <c r="K42" s="81"/>
      <c r="L42" s="81"/>
      <c r="M42" s="159" t="s">
        <v>353</v>
      </c>
      <c r="N42" s="50"/>
      <c r="O42" s="51"/>
      <c r="P42" s="160"/>
      <c r="Q42" s="50"/>
      <c r="R42" s="50"/>
      <c r="S42" s="50"/>
      <c r="T42" s="50"/>
      <c r="U42" s="50"/>
      <c r="V42" s="50"/>
      <c r="W42" s="50"/>
      <c r="X42" s="51"/>
    </row>
    <row r="43" ht="15.75" customHeight="1">
      <c r="A43" s="161" t="s">
        <v>354</v>
      </c>
      <c r="B43" s="50"/>
      <c r="C43" s="50"/>
      <c r="D43" s="50"/>
      <c r="E43" s="50"/>
      <c r="F43" s="51"/>
      <c r="G43" s="205"/>
      <c r="H43" s="50"/>
      <c r="I43" s="50"/>
      <c r="J43" s="50"/>
      <c r="K43" s="50"/>
      <c r="L43" s="50"/>
      <c r="M43" s="159" t="s">
        <v>355</v>
      </c>
      <c r="N43" s="50"/>
      <c r="O43" s="51"/>
      <c r="P43" s="160"/>
      <c r="Q43" s="50"/>
      <c r="R43" s="50"/>
      <c r="S43" s="50"/>
      <c r="T43" s="50"/>
      <c r="U43" s="50"/>
      <c r="V43" s="50"/>
      <c r="W43" s="50"/>
      <c r="X43" s="51"/>
    </row>
    <row r="44" ht="15.75" customHeight="1">
      <c r="A44" s="161" t="s">
        <v>356</v>
      </c>
      <c r="B44" s="50"/>
      <c r="C44" s="50"/>
      <c r="D44" s="50"/>
      <c r="E44" s="50"/>
      <c r="F44" s="51"/>
      <c r="G44" s="205"/>
      <c r="H44" s="50"/>
      <c r="I44" s="50"/>
      <c r="J44" s="50"/>
      <c r="K44" s="50"/>
      <c r="L44" s="50"/>
      <c r="M44" s="159" t="s">
        <v>357</v>
      </c>
      <c r="N44" s="50"/>
      <c r="O44" s="51"/>
      <c r="P44" s="160"/>
      <c r="Q44" s="50"/>
      <c r="R44" s="50"/>
      <c r="S44" s="50"/>
      <c r="T44" s="50"/>
      <c r="U44" s="50"/>
      <c r="V44" s="50"/>
      <c r="W44" s="50"/>
      <c r="X44" s="51"/>
    </row>
    <row r="45" ht="15.75" customHeight="1">
      <c r="A45" s="53" t="s">
        <v>358</v>
      </c>
      <c r="B45" s="50"/>
      <c r="C45" s="50"/>
      <c r="D45" s="50"/>
      <c r="E45" s="50"/>
      <c r="F45" s="50"/>
      <c r="G45" s="50"/>
      <c r="H45" s="50"/>
      <c r="I45" s="50"/>
      <c r="J45" s="50"/>
      <c r="K45" s="50"/>
      <c r="L45" s="50"/>
      <c r="M45" s="50"/>
      <c r="N45" s="50"/>
      <c r="O45" s="50"/>
      <c r="P45" s="50"/>
      <c r="Q45" s="50"/>
      <c r="R45" s="50"/>
      <c r="S45" s="50"/>
      <c r="T45" s="50"/>
      <c r="U45" s="50"/>
      <c r="V45" s="50"/>
      <c r="W45" s="50"/>
      <c r="X45" s="51"/>
    </row>
    <row r="46" ht="15.75" customHeight="1">
      <c r="A46" s="77"/>
      <c r="B46" s="9"/>
      <c r="C46" s="9"/>
      <c r="D46" s="9"/>
      <c r="E46" s="9"/>
      <c r="F46" s="9"/>
      <c r="G46" s="9"/>
      <c r="H46" s="9"/>
      <c r="I46" s="9"/>
      <c r="J46" s="9"/>
      <c r="K46" s="9"/>
      <c r="L46" s="9"/>
      <c r="M46" s="9"/>
      <c r="N46" s="9"/>
      <c r="O46" s="9"/>
      <c r="P46" s="9"/>
      <c r="Q46" s="9"/>
      <c r="R46" s="9"/>
      <c r="S46" s="9"/>
      <c r="T46" s="9"/>
      <c r="U46" s="9"/>
      <c r="V46" s="9"/>
      <c r="W46" s="9"/>
      <c r="X46" s="10"/>
    </row>
    <row r="47" ht="15.75" customHeight="1">
      <c r="A47" s="39"/>
      <c r="B47" s="81"/>
      <c r="C47" s="81"/>
      <c r="D47" s="81"/>
      <c r="E47" s="81"/>
      <c r="F47" s="81"/>
      <c r="G47" s="81"/>
      <c r="H47" s="81"/>
      <c r="I47" s="81"/>
      <c r="J47" s="81"/>
      <c r="K47" s="81"/>
      <c r="L47" s="81"/>
      <c r="M47" s="81"/>
      <c r="N47" s="81"/>
      <c r="O47" s="81"/>
      <c r="P47" s="81"/>
      <c r="Q47" s="81"/>
      <c r="R47" s="81"/>
      <c r="S47" s="81"/>
      <c r="T47" s="81"/>
      <c r="U47" s="81"/>
      <c r="V47" s="81"/>
      <c r="W47" s="81"/>
      <c r="X47" s="8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6">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K10:O10"/>
    <mergeCell ref="P10:T10"/>
    <mergeCell ref="E5:F5"/>
    <mergeCell ref="G5:H5"/>
    <mergeCell ref="A7:X7"/>
    <mergeCell ref="A8:X8"/>
    <mergeCell ref="A9:X9"/>
    <mergeCell ref="F10:J10"/>
    <mergeCell ref="U10:X10"/>
    <mergeCell ref="F12:J12"/>
    <mergeCell ref="K12:O12"/>
    <mergeCell ref="A10:E10"/>
    <mergeCell ref="A11:E11"/>
    <mergeCell ref="F11:J11"/>
    <mergeCell ref="K11:O11"/>
    <mergeCell ref="P11:T11"/>
    <mergeCell ref="U11:X11"/>
    <mergeCell ref="A12:E12"/>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P12:T12"/>
    <mergeCell ref="U12:X12"/>
    <mergeCell ref="A13:E13"/>
    <mergeCell ref="F13:J13"/>
    <mergeCell ref="K13:O13"/>
    <mergeCell ref="P13:T13"/>
    <mergeCell ref="U13:X13"/>
    <mergeCell ref="K15:O15"/>
    <mergeCell ref="P15:T15"/>
    <mergeCell ref="A14:E14"/>
    <mergeCell ref="F14:J14"/>
    <mergeCell ref="K14:O14"/>
    <mergeCell ref="P14:T14"/>
    <mergeCell ref="U14:X14"/>
    <mergeCell ref="F15:J15"/>
    <mergeCell ref="U15:X15"/>
    <mergeCell ref="A15:E15"/>
    <mergeCell ref="A16:E16"/>
    <mergeCell ref="F16:J16"/>
    <mergeCell ref="K16:O16"/>
    <mergeCell ref="P16:T16"/>
    <mergeCell ref="U16:X16"/>
    <mergeCell ref="A17:E17"/>
    <mergeCell ref="F17:J17"/>
    <mergeCell ref="K17:O17"/>
    <mergeCell ref="A18:E18"/>
    <mergeCell ref="F18:J18"/>
    <mergeCell ref="K18:O18"/>
    <mergeCell ref="F19:J19"/>
    <mergeCell ref="K19:O19"/>
    <mergeCell ref="P20:T20"/>
    <mergeCell ref="P21:T21"/>
    <mergeCell ref="U21:X21"/>
    <mergeCell ref="P17:T17"/>
    <mergeCell ref="U17:X17"/>
    <mergeCell ref="P18:T18"/>
    <mergeCell ref="U18:X18"/>
    <mergeCell ref="P19:T19"/>
    <mergeCell ref="U19:X19"/>
    <mergeCell ref="U20:X20"/>
    <mergeCell ref="A19:E19"/>
    <mergeCell ref="A20:E20"/>
    <mergeCell ref="F20:J20"/>
    <mergeCell ref="K20:O20"/>
    <mergeCell ref="A21:E21"/>
    <mergeCell ref="F21:J21"/>
    <mergeCell ref="K21:O21"/>
    <mergeCell ref="A30:X30"/>
    <mergeCell ref="A31:X31"/>
    <mergeCell ref="A32:X32"/>
    <mergeCell ref="A33:X33"/>
    <mergeCell ref="A34:X34"/>
    <mergeCell ref="A35:X35"/>
    <mergeCell ref="A36:X36"/>
    <mergeCell ref="M42:O42"/>
    <mergeCell ref="P42:X42"/>
    <mergeCell ref="A37:X37"/>
    <mergeCell ref="A38:X38"/>
    <mergeCell ref="A39:X39"/>
    <mergeCell ref="A40:X40"/>
    <mergeCell ref="A41:X41"/>
    <mergeCell ref="A42:F42"/>
    <mergeCell ref="G42:L42"/>
    <mergeCell ref="P44:X44"/>
    <mergeCell ref="A45:X45"/>
    <mergeCell ref="A46:X47"/>
    <mergeCell ref="A43:F43"/>
    <mergeCell ref="G43:L43"/>
    <mergeCell ref="M43:O43"/>
    <mergeCell ref="P43:X43"/>
    <mergeCell ref="A44:F44"/>
    <mergeCell ref="G44:L44"/>
    <mergeCell ref="M44:O44"/>
    <mergeCell ref="K23:O23"/>
    <mergeCell ref="P23:T23"/>
    <mergeCell ref="A22:E22"/>
    <mergeCell ref="F22:J22"/>
    <mergeCell ref="K22:O22"/>
    <mergeCell ref="P22:T22"/>
    <mergeCell ref="U22:X22"/>
    <mergeCell ref="F23:J23"/>
    <mergeCell ref="U23:X23"/>
    <mergeCell ref="A23:E23"/>
    <mergeCell ref="A24:E24"/>
    <mergeCell ref="F24:J24"/>
    <mergeCell ref="K24:O24"/>
    <mergeCell ref="P24:T24"/>
    <mergeCell ref="U24:X24"/>
    <mergeCell ref="A25:E25"/>
    <mergeCell ref="F25:J25"/>
    <mergeCell ref="K25:O25"/>
    <mergeCell ref="A26:E26"/>
    <mergeCell ref="F26:J26"/>
    <mergeCell ref="K26:O26"/>
    <mergeCell ref="F27:J27"/>
    <mergeCell ref="K27:O27"/>
    <mergeCell ref="P28:T28"/>
    <mergeCell ref="P29:T29"/>
    <mergeCell ref="U29:X29"/>
    <mergeCell ref="P25:T25"/>
    <mergeCell ref="U25:X25"/>
    <mergeCell ref="P26:T26"/>
    <mergeCell ref="U26:X26"/>
    <mergeCell ref="P27:T27"/>
    <mergeCell ref="U27:X27"/>
    <mergeCell ref="U28:X28"/>
    <mergeCell ref="A27:E27"/>
    <mergeCell ref="A28:E28"/>
    <mergeCell ref="F28:J28"/>
    <mergeCell ref="K28:O28"/>
    <mergeCell ref="A29:E29"/>
    <mergeCell ref="F29:J29"/>
    <mergeCell ref="K29:O2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206" t="s">
        <v>0</v>
      </c>
      <c r="B1" s="207"/>
      <c r="C1" s="208"/>
      <c r="D1" s="207"/>
      <c r="E1" s="209" t="s">
        <v>1</v>
      </c>
      <c r="F1" s="207"/>
      <c r="G1" s="208" t="s">
        <v>58</v>
      </c>
      <c r="H1" s="207"/>
      <c r="I1" s="209" t="s">
        <v>2</v>
      </c>
      <c r="J1" s="207"/>
      <c r="K1" s="210"/>
      <c r="L1" s="207"/>
      <c r="M1" s="211" t="s">
        <v>3</v>
      </c>
      <c r="N1" s="207"/>
      <c r="O1" s="212">
        <v>4.0</v>
      </c>
      <c r="P1" s="207"/>
      <c r="Q1" s="209" t="s">
        <v>4</v>
      </c>
      <c r="R1" s="207"/>
      <c r="S1" s="208" t="s">
        <v>105</v>
      </c>
      <c r="T1" s="207"/>
      <c r="U1" s="213"/>
      <c r="V1" s="214"/>
      <c r="W1" s="214"/>
      <c r="X1" s="215"/>
    </row>
    <row r="2" ht="15.75" customHeight="1">
      <c r="A2" s="216" t="s">
        <v>5</v>
      </c>
      <c r="B2" s="12"/>
      <c r="C2" s="13"/>
      <c r="D2" s="12"/>
      <c r="E2" s="14" t="s">
        <v>6</v>
      </c>
      <c r="F2" s="12"/>
      <c r="G2" s="13"/>
      <c r="H2" s="12"/>
      <c r="I2" s="14" t="s">
        <v>7</v>
      </c>
      <c r="J2" s="12"/>
      <c r="K2" s="15"/>
      <c r="L2" s="12"/>
      <c r="M2" s="16" t="s">
        <v>8</v>
      </c>
      <c r="N2" s="12"/>
      <c r="O2" s="13" t="s">
        <v>9</v>
      </c>
      <c r="P2" s="12"/>
      <c r="Q2" s="14" t="s">
        <v>10</v>
      </c>
      <c r="R2" s="12"/>
      <c r="S2" s="13" t="s">
        <v>310</v>
      </c>
      <c r="T2" s="12"/>
      <c r="U2" s="217"/>
      <c r="V2" s="218"/>
      <c r="W2" s="218"/>
      <c r="X2" s="219"/>
    </row>
    <row r="3" ht="15.75" customHeight="1">
      <c r="A3" s="216" t="s">
        <v>11</v>
      </c>
      <c r="B3" s="12"/>
      <c r="C3" s="13"/>
      <c r="D3" s="12"/>
      <c r="E3" s="14" t="s">
        <v>12</v>
      </c>
      <c r="F3" s="12"/>
      <c r="G3" s="13" t="s">
        <v>135</v>
      </c>
      <c r="H3" s="12"/>
      <c r="I3" s="14" t="s">
        <v>13</v>
      </c>
      <c r="J3" s="12"/>
      <c r="K3" s="20"/>
      <c r="L3" s="12"/>
      <c r="M3" s="16" t="s">
        <v>14</v>
      </c>
      <c r="N3" s="12"/>
      <c r="O3" s="13" t="s">
        <v>15</v>
      </c>
      <c r="P3" s="12"/>
      <c r="Q3" s="14" t="s">
        <v>16</v>
      </c>
      <c r="R3" s="12"/>
      <c r="S3" s="13" t="s">
        <v>359</v>
      </c>
      <c r="T3" s="12"/>
      <c r="U3" s="220" t="s">
        <v>17</v>
      </c>
      <c r="V3" s="18"/>
      <c r="W3" s="18"/>
      <c r="X3" s="221"/>
    </row>
    <row r="4" ht="15.75" customHeight="1">
      <c r="A4" s="216" t="s">
        <v>18</v>
      </c>
      <c r="B4" s="12"/>
      <c r="C4" s="13" t="s">
        <v>107</v>
      </c>
      <c r="D4" s="12"/>
      <c r="E4" s="14" t="s">
        <v>20</v>
      </c>
      <c r="F4" s="12"/>
      <c r="G4" s="13" t="s">
        <v>58</v>
      </c>
      <c r="H4" s="12"/>
      <c r="I4" s="14" t="s">
        <v>21</v>
      </c>
      <c r="J4" s="12"/>
      <c r="K4" s="24"/>
      <c r="L4" s="25"/>
      <c r="M4" s="26" t="s">
        <v>22</v>
      </c>
      <c r="N4" s="27"/>
      <c r="O4" s="28">
        <v>0.0</v>
      </c>
      <c r="P4" s="27"/>
      <c r="Q4" s="14" t="s">
        <v>23</v>
      </c>
      <c r="R4" s="12"/>
      <c r="S4" s="20"/>
      <c r="T4" s="12"/>
      <c r="U4" s="29" t="s">
        <v>24</v>
      </c>
      <c r="V4" s="22"/>
      <c r="W4" s="22"/>
      <c r="X4" s="222"/>
    </row>
    <row r="5" ht="15.75" customHeight="1">
      <c r="A5" s="223" t="s">
        <v>25</v>
      </c>
      <c r="B5" s="27"/>
      <c r="C5" s="31"/>
      <c r="D5" s="27"/>
      <c r="E5" s="14" t="s">
        <v>27</v>
      </c>
      <c r="F5" s="12"/>
      <c r="G5" s="13" t="s">
        <v>57</v>
      </c>
      <c r="H5" s="12"/>
      <c r="I5" s="14" t="s">
        <v>28</v>
      </c>
      <c r="J5" s="12"/>
      <c r="K5" s="32"/>
      <c r="L5" s="33"/>
      <c r="M5" s="34"/>
      <c r="N5" s="35"/>
      <c r="O5" s="34"/>
      <c r="P5" s="35"/>
      <c r="Q5" s="36" t="s">
        <v>29</v>
      </c>
      <c r="R5" s="27"/>
      <c r="S5" s="37"/>
      <c r="T5" s="27"/>
      <c r="U5" s="38" t="s">
        <v>30</v>
      </c>
      <c r="V5" s="22"/>
      <c r="W5" s="22"/>
      <c r="X5" s="222"/>
    </row>
    <row r="6" ht="15.75" customHeight="1">
      <c r="A6" s="224"/>
      <c r="B6" s="225"/>
      <c r="C6" s="226"/>
      <c r="D6" s="225"/>
      <c r="E6" s="227" t="s">
        <v>31</v>
      </c>
      <c r="F6" s="228"/>
      <c r="G6" s="229" t="s">
        <v>137</v>
      </c>
      <c r="H6" s="228"/>
      <c r="I6" s="227" t="s">
        <v>32</v>
      </c>
      <c r="J6" s="228"/>
      <c r="K6" s="230"/>
      <c r="L6" s="228"/>
      <c r="M6" s="226"/>
      <c r="N6" s="225"/>
      <c r="O6" s="226"/>
      <c r="P6" s="225"/>
      <c r="Q6" s="226"/>
      <c r="R6" s="225"/>
      <c r="S6" s="226"/>
      <c r="T6" s="225"/>
      <c r="U6" s="231" t="s">
        <v>33</v>
      </c>
      <c r="V6" s="232"/>
      <c r="W6" s="232"/>
      <c r="X6" s="233"/>
    </row>
    <row r="7" ht="15.75" customHeight="1">
      <c r="A7" s="234" t="s">
        <v>311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360</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361</v>
      </c>
      <c r="B9" s="50"/>
      <c r="C9" s="50"/>
      <c r="D9" s="50"/>
      <c r="E9" s="50"/>
      <c r="F9" s="50"/>
      <c r="G9" s="50"/>
      <c r="H9" s="50"/>
      <c r="I9" s="50"/>
      <c r="J9" s="50"/>
      <c r="K9" s="50"/>
      <c r="L9" s="50"/>
      <c r="M9" s="50"/>
      <c r="N9" s="50"/>
      <c r="O9" s="50"/>
      <c r="P9" s="50"/>
      <c r="Q9" s="50"/>
      <c r="R9" s="50"/>
      <c r="S9" s="50"/>
      <c r="T9" s="50"/>
      <c r="U9" s="50"/>
      <c r="V9" s="50"/>
      <c r="W9" s="50"/>
      <c r="X9" s="51"/>
    </row>
    <row r="10" ht="15.75" customHeight="1">
      <c r="A10" s="235" t="s">
        <v>362</v>
      </c>
      <c r="B10" s="50"/>
      <c r="C10" s="50"/>
      <c r="D10" s="50"/>
      <c r="E10" s="51"/>
      <c r="F10" s="49" t="s">
        <v>337</v>
      </c>
      <c r="G10" s="50"/>
      <c r="H10" s="50"/>
      <c r="I10" s="50"/>
      <c r="J10" s="51"/>
      <c r="K10" s="235" t="s">
        <v>363</v>
      </c>
      <c r="L10" s="50"/>
      <c r="M10" s="50"/>
      <c r="N10" s="50"/>
      <c r="O10" s="51"/>
      <c r="P10" s="49"/>
      <c r="Q10" s="50"/>
      <c r="R10" s="50"/>
      <c r="S10" s="50"/>
      <c r="T10" s="50"/>
      <c r="U10" s="50"/>
      <c r="V10" s="50"/>
      <c r="W10" s="50"/>
      <c r="X10" s="51"/>
    </row>
    <row r="11" ht="15.75" customHeight="1">
      <c r="A11" s="76" t="s">
        <v>364</v>
      </c>
      <c r="B11" s="50"/>
      <c r="C11" s="50"/>
      <c r="D11" s="50"/>
      <c r="E11" s="51"/>
      <c r="F11" s="75"/>
      <c r="G11" s="50"/>
      <c r="H11" s="50"/>
      <c r="I11" s="50"/>
      <c r="J11" s="51"/>
      <c r="K11" s="235" t="s">
        <v>365</v>
      </c>
      <c r="L11" s="50"/>
      <c r="M11" s="50"/>
      <c r="N11" s="50"/>
      <c r="O11" s="51"/>
      <c r="P11" s="75"/>
      <c r="Q11" s="50"/>
      <c r="R11" s="50"/>
      <c r="S11" s="50"/>
      <c r="T11" s="50"/>
      <c r="U11" s="50"/>
      <c r="V11" s="50"/>
      <c r="W11" s="50"/>
      <c r="X11" s="51"/>
    </row>
    <row r="12" ht="15.75" customHeight="1">
      <c r="A12" s="236" t="s">
        <v>366</v>
      </c>
      <c r="B12" s="9"/>
      <c r="C12" s="9"/>
      <c r="D12" s="9"/>
      <c r="E12" s="10"/>
      <c r="F12" s="75"/>
      <c r="G12" s="50"/>
      <c r="H12" s="50"/>
      <c r="I12" s="50"/>
      <c r="J12" s="51"/>
      <c r="K12" s="235" t="s">
        <v>367</v>
      </c>
      <c r="L12" s="50"/>
      <c r="M12" s="50"/>
      <c r="N12" s="50"/>
      <c r="O12" s="51"/>
      <c r="P12" s="75"/>
      <c r="Q12" s="50"/>
      <c r="R12" s="50"/>
      <c r="S12" s="50"/>
      <c r="T12" s="50"/>
      <c r="U12" s="50"/>
      <c r="V12" s="50"/>
      <c r="W12" s="50"/>
      <c r="X12" s="51"/>
    </row>
    <row r="13" ht="15.75" customHeight="1">
      <c r="A13" s="79"/>
      <c r="E13" s="80"/>
      <c r="F13" s="75"/>
      <c r="G13" s="50"/>
      <c r="H13" s="50"/>
      <c r="I13" s="50"/>
      <c r="J13" s="50"/>
      <c r="K13" s="50"/>
      <c r="L13" s="50"/>
      <c r="M13" s="50"/>
      <c r="N13" s="50"/>
      <c r="O13" s="50"/>
      <c r="P13" s="50"/>
      <c r="Q13" s="50"/>
      <c r="R13" s="50"/>
      <c r="S13" s="50"/>
      <c r="T13" s="50"/>
      <c r="U13" s="50"/>
      <c r="V13" s="50"/>
      <c r="W13" s="50"/>
      <c r="X13" s="51"/>
    </row>
    <row r="14" ht="15.75" customHeight="1">
      <c r="A14" s="39"/>
      <c r="B14" s="81"/>
      <c r="C14" s="81"/>
      <c r="D14" s="81"/>
      <c r="E14" s="82"/>
      <c r="F14" s="75"/>
      <c r="G14" s="50"/>
      <c r="H14" s="50"/>
      <c r="I14" s="50"/>
      <c r="J14" s="50"/>
      <c r="K14" s="50"/>
      <c r="L14" s="50"/>
      <c r="M14" s="50"/>
      <c r="N14" s="50"/>
      <c r="O14" s="50"/>
      <c r="P14" s="50"/>
      <c r="Q14" s="50"/>
      <c r="R14" s="50"/>
      <c r="S14" s="50"/>
      <c r="T14" s="50"/>
      <c r="U14" s="50"/>
      <c r="V14" s="50"/>
      <c r="W14" s="50"/>
      <c r="X14" s="51"/>
    </row>
    <row r="15" ht="15.75" customHeight="1">
      <c r="A15" s="49" t="s">
        <v>368</v>
      </c>
      <c r="B15" s="50"/>
      <c r="C15" s="50"/>
      <c r="D15" s="50"/>
      <c r="E15" s="50"/>
      <c r="F15" s="50"/>
      <c r="G15" s="50"/>
      <c r="H15" s="50"/>
      <c r="I15" s="50"/>
      <c r="J15" s="50"/>
      <c r="K15" s="50"/>
      <c r="L15" s="50"/>
      <c r="M15" s="50"/>
      <c r="N15" s="50"/>
      <c r="O15" s="50"/>
      <c r="P15" s="50"/>
      <c r="Q15" s="50"/>
      <c r="R15" s="50"/>
      <c r="S15" s="50"/>
      <c r="T15" s="50"/>
      <c r="U15" s="50"/>
      <c r="V15" s="50"/>
      <c r="W15" s="50"/>
      <c r="X15" s="51"/>
    </row>
    <row r="16" ht="15.75" customHeight="1">
      <c r="A16" s="168" t="s">
        <v>112</v>
      </c>
      <c r="B16" s="76" t="s">
        <v>369</v>
      </c>
      <c r="C16" s="50"/>
      <c r="D16" s="76" t="s">
        <v>370</v>
      </c>
      <c r="E16" s="50"/>
      <c r="F16" s="50"/>
      <c r="G16" s="50"/>
      <c r="H16" s="50"/>
      <c r="I16" s="50"/>
      <c r="J16" s="51"/>
      <c r="K16" s="76" t="s">
        <v>371</v>
      </c>
      <c r="L16" s="50"/>
      <c r="M16" s="50"/>
      <c r="N16" s="50"/>
      <c r="O16" s="51"/>
      <c r="P16" s="76" t="s">
        <v>372</v>
      </c>
      <c r="Q16" s="50"/>
      <c r="R16" s="50"/>
      <c r="S16" s="50"/>
      <c r="T16" s="50"/>
      <c r="U16" s="50"/>
      <c r="V16" s="50"/>
      <c r="W16" s="50"/>
      <c r="X16" s="51"/>
    </row>
    <row r="17" ht="15.75" customHeight="1">
      <c r="A17" s="237">
        <v>1.0</v>
      </c>
      <c r="B17" s="238" t="s">
        <v>373</v>
      </c>
      <c r="C17" s="218"/>
      <c r="D17" s="239" t="s">
        <v>374</v>
      </c>
      <c r="E17" s="218"/>
      <c r="F17" s="218"/>
      <c r="G17" s="218"/>
      <c r="H17" s="218"/>
      <c r="I17" s="218"/>
      <c r="J17" s="240"/>
      <c r="K17" s="239" t="s">
        <v>375</v>
      </c>
      <c r="L17" s="218"/>
      <c r="M17" s="218"/>
      <c r="N17" s="218"/>
      <c r="O17" s="240"/>
      <c r="P17" s="239" t="s">
        <v>376</v>
      </c>
      <c r="Q17" s="218"/>
      <c r="R17" s="218"/>
      <c r="S17" s="218"/>
      <c r="T17" s="218"/>
      <c r="U17" s="218"/>
      <c r="V17" s="218"/>
      <c r="W17" s="218"/>
      <c r="X17" s="241"/>
    </row>
    <row r="18" ht="15.75" customHeight="1">
      <c r="A18" s="242">
        <v>2.0</v>
      </c>
      <c r="B18" s="243" t="s">
        <v>377</v>
      </c>
      <c r="C18" s="243"/>
      <c r="D18" s="244" t="s">
        <v>378</v>
      </c>
      <c r="E18" s="245"/>
      <c r="F18" s="245"/>
      <c r="G18" s="245"/>
      <c r="H18" s="245"/>
      <c r="I18" s="245"/>
      <c r="J18" s="246"/>
      <c r="K18" s="244" t="s">
        <v>379</v>
      </c>
      <c r="L18" s="245"/>
      <c r="M18" s="245"/>
      <c r="N18" s="245"/>
      <c r="O18" s="246"/>
      <c r="P18" s="244" t="s">
        <v>380</v>
      </c>
      <c r="Q18" s="245"/>
      <c r="R18" s="245"/>
      <c r="S18" s="245"/>
      <c r="T18" s="245"/>
      <c r="U18" s="245"/>
      <c r="V18" s="245"/>
      <c r="W18" s="245"/>
      <c r="X18" s="247"/>
    </row>
    <row r="19" ht="15.75" customHeight="1">
      <c r="A19" s="242">
        <v>3.0</v>
      </c>
      <c r="B19" s="243" t="s">
        <v>381</v>
      </c>
      <c r="C19" s="243"/>
      <c r="D19" s="244" t="s">
        <v>382</v>
      </c>
      <c r="E19" s="245"/>
      <c r="F19" s="245"/>
      <c r="G19" s="245"/>
      <c r="H19" s="245"/>
      <c r="I19" s="245"/>
      <c r="J19" s="246"/>
      <c r="K19" s="244" t="s">
        <v>379</v>
      </c>
      <c r="L19" s="245"/>
      <c r="M19" s="245"/>
      <c r="N19" s="245"/>
      <c r="O19" s="246"/>
      <c r="P19" s="244" t="s">
        <v>383</v>
      </c>
      <c r="Q19" s="245"/>
      <c r="R19" s="245"/>
      <c r="S19" s="245"/>
      <c r="T19" s="245"/>
      <c r="U19" s="245"/>
      <c r="V19" s="245"/>
      <c r="W19" s="245"/>
      <c r="X19" s="247"/>
    </row>
    <row r="20" ht="15.75" customHeight="1">
      <c r="A20" s="242">
        <v>4.0</v>
      </c>
      <c r="B20" s="243" t="s">
        <v>373</v>
      </c>
      <c r="C20" s="243"/>
      <c r="D20" s="244" t="s">
        <v>384</v>
      </c>
      <c r="E20" s="245"/>
      <c r="F20" s="245"/>
      <c r="G20" s="245"/>
      <c r="H20" s="245"/>
      <c r="I20" s="245"/>
      <c r="J20" s="246"/>
      <c r="K20" s="244" t="s">
        <v>375</v>
      </c>
      <c r="L20" s="245"/>
      <c r="M20" s="245"/>
      <c r="N20" s="245"/>
      <c r="O20" s="246"/>
      <c r="P20" s="244" t="s">
        <v>385</v>
      </c>
      <c r="Q20" s="245"/>
      <c r="R20" s="245"/>
      <c r="S20" s="245"/>
      <c r="T20" s="245"/>
      <c r="U20" s="245"/>
      <c r="V20" s="245"/>
      <c r="W20" s="245"/>
      <c r="X20" s="247"/>
    </row>
    <row r="21" ht="15.75" customHeight="1">
      <c r="A21" s="248">
        <v>5.0</v>
      </c>
      <c r="B21" s="249" t="s">
        <v>373</v>
      </c>
      <c r="C21" s="249"/>
      <c r="D21" s="250" t="s">
        <v>386</v>
      </c>
      <c r="E21" s="251"/>
      <c r="F21" s="251"/>
      <c r="G21" s="251"/>
      <c r="H21" s="251"/>
      <c r="I21" s="251"/>
      <c r="J21" s="252"/>
      <c r="K21" s="244" t="s">
        <v>375</v>
      </c>
      <c r="L21" s="245"/>
      <c r="M21" s="245"/>
      <c r="N21" s="245"/>
      <c r="O21" s="246"/>
      <c r="P21" s="244" t="s">
        <v>387</v>
      </c>
      <c r="Q21" s="245"/>
      <c r="R21" s="245"/>
      <c r="S21" s="245"/>
      <c r="T21" s="245"/>
      <c r="U21" s="245"/>
      <c r="V21" s="245"/>
      <c r="W21" s="245"/>
      <c r="X21" s="247"/>
    </row>
    <row r="22" ht="15.75" customHeight="1">
      <c r="A22" s="253"/>
      <c r="B22" s="94"/>
      <c r="C22" s="12"/>
      <c r="D22" s="94"/>
      <c r="E22" s="22"/>
      <c r="F22" s="22"/>
      <c r="G22" s="22"/>
      <c r="H22" s="22"/>
      <c r="I22" s="22"/>
      <c r="J22" s="12"/>
      <c r="K22" s="244"/>
      <c r="L22" s="245"/>
      <c r="M22" s="245"/>
      <c r="N22" s="245"/>
      <c r="O22" s="246"/>
      <c r="P22" s="244"/>
      <c r="Q22" s="245"/>
      <c r="R22" s="245"/>
      <c r="S22" s="245"/>
      <c r="T22" s="245"/>
      <c r="U22" s="245"/>
      <c r="V22" s="245"/>
      <c r="W22" s="245"/>
      <c r="X22" s="247"/>
    </row>
    <row r="23" ht="15.75" customHeight="1">
      <c r="A23" s="253"/>
      <c r="B23" s="94"/>
      <c r="C23" s="12"/>
      <c r="D23" s="94"/>
      <c r="E23" s="22"/>
      <c r="F23" s="22"/>
      <c r="G23" s="22"/>
      <c r="H23" s="22"/>
      <c r="I23" s="22"/>
      <c r="J23" s="12"/>
      <c r="K23" s="244"/>
      <c r="L23" s="245"/>
      <c r="M23" s="245"/>
      <c r="N23" s="245"/>
      <c r="O23" s="246"/>
      <c r="P23" s="244"/>
      <c r="Q23" s="245"/>
      <c r="R23" s="245"/>
      <c r="S23" s="245"/>
      <c r="T23" s="245"/>
      <c r="U23" s="245"/>
      <c r="V23" s="245"/>
      <c r="W23" s="245"/>
      <c r="X23" s="247"/>
    </row>
    <row r="24" ht="15.75" customHeight="1">
      <c r="A24" s="253"/>
      <c r="B24" s="94"/>
      <c r="C24" s="12"/>
      <c r="D24" s="94"/>
      <c r="E24" s="22"/>
      <c r="F24" s="22"/>
      <c r="G24" s="22"/>
      <c r="H24" s="22"/>
      <c r="I24" s="22"/>
      <c r="J24" s="12"/>
      <c r="K24" s="244"/>
      <c r="L24" s="245"/>
      <c r="M24" s="245"/>
      <c r="N24" s="245"/>
      <c r="O24" s="246"/>
      <c r="P24" s="244"/>
      <c r="Q24" s="245"/>
      <c r="R24" s="245"/>
      <c r="S24" s="245"/>
      <c r="T24" s="245"/>
      <c r="U24" s="245"/>
      <c r="V24" s="245"/>
      <c r="W24" s="245"/>
      <c r="X24" s="247"/>
    </row>
    <row r="25" ht="15.75" customHeight="1">
      <c r="A25" s="253"/>
      <c r="B25" s="94"/>
      <c r="C25" s="12"/>
      <c r="D25" s="94"/>
      <c r="E25" s="22"/>
      <c r="F25" s="22"/>
      <c r="G25" s="22"/>
      <c r="H25" s="22"/>
      <c r="I25" s="22"/>
      <c r="J25" s="12"/>
      <c r="K25" s="244"/>
      <c r="L25" s="245"/>
      <c r="M25" s="245"/>
      <c r="N25" s="245"/>
      <c r="O25" s="246"/>
      <c r="P25" s="244"/>
      <c r="Q25" s="245"/>
      <c r="R25" s="245"/>
      <c r="S25" s="245"/>
      <c r="T25" s="245"/>
      <c r="U25" s="245"/>
      <c r="V25" s="245"/>
      <c r="W25" s="245"/>
      <c r="X25" s="247"/>
    </row>
    <row r="26" ht="15.75" customHeight="1">
      <c r="A26" s="253"/>
      <c r="B26" s="94"/>
      <c r="C26" s="12"/>
      <c r="D26" s="94"/>
      <c r="E26" s="22"/>
      <c r="F26" s="22"/>
      <c r="G26" s="22"/>
      <c r="H26" s="22"/>
      <c r="I26" s="22"/>
      <c r="J26" s="12"/>
      <c r="K26" s="244"/>
      <c r="L26" s="245"/>
      <c r="M26" s="245"/>
      <c r="N26" s="245"/>
      <c r="O26" s="246"/>
      <c r="P26" s="244"/>
      <c r="Q26" s="245"/>
      <c r="R26" s="245"/>
      <c r="S26" s="245"/>
      <c r="T26" s="245"/>
      <c r="U26" s="245"/>
      <c r="V26" s="245"/>
      <c r="W26" s="245"/>
      <c r="X26" s="247"/>
    </row>
    <row r="27" ht="15.75" customHeight="1">
      <c r="A27" s="253"/>
      <c r="B27" s="94"/>
      <c r="C27" s="12"/>
      <c r="D27" s="94"/>
      <c r="E27" s="22"/>
      <c r="F27" s="22"/>
      <c r="G27" s="22"/>
      <c r="H27" s="22"/>
      <c r="I27" s="22"/>
      <c r="J27" s="12"/>
      <c r="K27" s="244"/>
      <c r="L27" s="245"/>
      <c r="M27" s="245"/>
      <c r="N27" s="245"/>
      <c r="O27" s="246"/>
      <c r="P27" s="244"/>
      <c r="Q27" s="245"/>
      <c r="R27" s="245"/>
      <c r="S27" s="245"/>
      <c r="T27" s="245"/>
      <c r="U27" s="245"/>
      <c r="V27" s="245"/>
      <c r="W27" s="245"/>
      <c r="X27" s="247"/>
    </row>
    <row r="28" ht="15.75" customHeight="1">
      <c r="A28" s="253"/>
      <c r="B28" s="94"/>
      <c r="C28" s="12"/>
      <c r="D28" s="94"/>
      <c r="E28" s="22"/>
      <c r="F28" s="22"/>
      <c r="G28" s="22"/>
      <c r="H28" s="22"/>
      <c r="I28" s="22"/>
      <c r="J28" s="12"/>
      <c r="K28" s="244"/>
      <c r="L28" s="245"/>
      <c r="M28" s="245"/>
      <c r="N28" s="245"/>
      <c r="O28" s="246"/>
      <c r="P28" s="244"/>
      <c r="Q28" s="245"/>
      <c r="R28" s="245"/>
      <c r="S28" s="245"/>
      <c r="T28" s="245"/>
      <c r="U28" s="245"/>
      <c r="V28" s="245"/>
      <c r="W28" s="245"/>
      <c r="X28" s="247"/>
    </row>
    <row r="29" ht="15.75" customHeight="1">
      <c r="A29" s="254"/>
      <c r="B29" s="98"/>
      <c r="C29" s="43"/>
      <c r="D29" s="98"/>
      <c r="E29" s="47"/>
      <c r="F29" s="47"/>
      <c r="G29" s="47"/>
      <c r="H29" s="47"/>
      <c r="I29" s="47"/>
      <c r="J29" s="43"/>
      <c r="K29" s="255"/>
      <c r="L29" s="256"/>
      <c r="M29" s="256"/>
      <c r="N29" s="256"/>
      <c r="O29" s="257"/>
      <c r="P29" s="255"/>
      <c r="Q29" s="256"/>
      <c r="R29" s="256"/>
      <c r="S29" s="256"/>
      <c r="T29" s="256"/>
      <c r="U29" s="256"/>
      <c r="V29" s="256"/>
      <c r="W29" s="256"/>
      <c r="X29" s="258"/>
    </row>
    <row r="30" ht="15.75" customHeight="1">
      <c r="A30" s="158" t="s">
        <v>388</v>
      </c>
      <c r="B30" s="81"/>
      <c r="C30" s="81"/>
      <c r="D30" s="81"/>
      <c r="E30" s="81"/>
      <c r="F30" s="81"/>
      <c r="G30" s="81"/>
      <c r="H30" s="81"/>
      <c r="I30" s="81"/>
      <c r="J30" s="81"/>
      <c r="K30" s="81"/>
      <c r="L30" s="81"/>
      <c r="M30" s="81"/>
      <c r="N30" s="81"/>
      <c r="O30" s="81"/>
      <c r="P30" s="81"/>
      <c r="Q30" s="81"/>
      <c r="R30" s="81"/>
      <c r="S30" s="81"/>
      <c r="T30" s="81"/>
      <c r="U30" s="81"/>
      <c r="V30" s="81"/>
      <c r="W30" s="81"/>
      <c r="X30" s="82"/>
    </row>
    <row r="31" ht="15.75" customHeight="1">
      <c r="A31" s="76" t="s">
        <v>389</v>
      </c>
      <c r="B31" s="50"/>
      <c r="C31" s="50"/>
      <c r="D31" s="50"/>
      <c r="E31" s="50"/>
      <c r="F31" s="50"/>
      <c r="G31" s="50"/>
      <c r="H31" s="50"/>
      <c r="I31" s="50"/>
      <c r="J31" s="50"/>
      <c r="K31" s="50"/>
      <c r="L31" s="50"/>
      <c r="M31" s="50"/>
      <c r="N31" s="51"/>
      <c r="O31" s="76" t="s">
        <v>234</v>
      </c>
      <c r="P31" s="50"/>
      <c r="Q31" s="50"/>
      <c r="R31" s="50"/>
      <c r="S31" s="51"/>
      <c r="T31" s="76" t="s">
        <v>235</v>
      </c>
      <c r="U31" s="50"/>
      <c r="V31" s="50"/>
      <c r="W31" s="50"/>
      <c r="X31" s="51"/>
    </row>
    <row r="32" ht="15.75" customHeight="1">
      <c r="A32" s="259" t="s">
        <v>390</v>
      </c>
      <c r="B32" s="260"/>
      <c r="C32" s="260"/>
      <c r="D32" s="260"/>
      <c r="E32" s="260"/>
      <c r="F32" s="260"/>
      <c r="G32" s="260"/>
      <c r="H32" s="260"/>
      <c r="I32" s="260"/>
      <c r="J32" s="260"/>
      <c r="K32" s="260"/>
      <c r="L32" s="260"/>
      <c r="M32" s="260"/>
      <c r="N32" s="261"/>
      <c r="O32" s="262" t="s">
        <v>379</v>
      </c>
      <c r="P32" s="260"/>
      <c r="Q32" s="260"/>
      <c r="R32" s="260"/>
      <c r="S32" s="261"/>
      <c r="T32" s="262"/>
      <c r="U32" s="260"/>
      <c r="V32" s="260"/>
      <c r="W32" s="260"/>
      <c r="X32" s="263"/>
    </row>
    <row r="33" ht="15.75" customHeight="1">
      <c r="A33" s="264" t="s">
        <v>391</v>
      </c>
      <c r="B33" s="245"/>
      <c r="C33" s="245"/>
      <c r="D33" s="245"/>
      <c r="E33" s="245"/>
      <c r="F33" s="245"/>
      <c r="G33" s="245"/>
      <c r="H33" s="245"/>
      <c r="I33" s="245"/>
      <c r="J33" s="245"/>
      <c r="K33" s="245"/>
      <c r="L33" s="245"/>
      <c r="M33" s="245"/>
      <c r="N33" s="265"/>
      <c r="O33" s="266" t="s">
        <v>375</v>
      </c>
      <c r="P33" s="245"/>
      <c r="Q33" s="245"/>
      <c r="R33" s="245"/>
      <c r="S33" s="265"/>
      <c r="T33" s="266"/>
      <c r="U33" s="245"/>
      <c r="V33" s="245"/>
      <c r="W33" s="245"/>
      <c r="X33" s="247"/>
    </row>
    <row r="34" ht="15.75" customHeight="1">
      <c r="A34" s="264" t="s">
        <v>392</v>
      </c>
      <c r="B34" s="245"/>
      <c r="C34" s="245"/>
      <c r="D34" s="245"/>
      <c r="E34" s="245"/>
      <c r="F34" s="245"/>
      <c r="G34" s="245"/>
      <c r="H34" s="245"/>
      <c r="I34" s="245"/>
      <c r="J34" s="245"/>
      <c r="K34" s="245"/>
      <c r="L34" s="245"/>
      <c r="M34" s="245"/>
      <c r="N34" s="265"/>
      <c r="O34" s="266" t="s">
        <v>375</v>
      </c>
      <c r="P34" s="245"/>
      <c r="Q34" s="245"/>
      <c r="R34" s="245"/>
      <c r="S34" s="265"/>
      <c r="T34" s="266"/>
      <c r="U34" s="245"/>
      <c r="V34" s="245"/>
      <c r="W34" s="245"/>
      <c r="X34" s="247"/>
    </row>
    <row r="35" ht="15.75" customHeight="1">
      <c r="A35" s="264"/>
      <c r="B35" s="245"/>
      <c r="C35" s="245"/>
      <c r="D35" s="245"/>
      <c r="E35" s="245"/>
      <c r="F35" s="245"/>
      <c r="G35" s="245"/>
      <c r="H35" s="245"/>
      <c r="I35" s="245"/>
      <c r="J35" s="245"/>
      <c r="K35" s="245"/>
      <c r="L35" s="245"/>
      <c r="M35" s="245"/>
      <c r="N35" s="265"/>
      <c r="O35" s="266"/>
      <c r="P35" s="245"/>
      <c r="Q35" s="245"/>
      <c r="R35" s="245"/>
      <c r="S35" s="265"/>
      <c r="T35" s="266"/>
      <c r="U35" s="245"/>
      <c r="V35" s="245"/>
      <c r="W35" s="245"/>
      <c r="X35" s="247"/>
    </row>
    <row r="36" ht="15.75" customHeight="1">
      <c r="A36" s="264"/>
      <c r="B36" s="245"/>
      <c r="C36" s="245"/>
      <c r="D36" s="245"/>
      <c r="E36" s="245"/>
      <c r="F36" s="245"/>
      <c r="G36" s="245"/>
      <c r="H36" s="245"/>
      <c r="I36" s="245"/>
      <c r="J36" s="245"/>
      <c r="K36" s="245"/>
      <c r="L36" s="245"/>
      <c r="M36" s="245"/>
      <c r="N36" s="265"/>
      <c r="O36" s="266"/>
      <c r="P36" s="245"/>
      <c r="Q36" s="245"/>
      <c r="R36" s="245"/>
      <c r="S36" s="265"/>
      <c r="T36" s="266"/>
      <c r="U36" s="245"/>
      <c r="V36" s="245"/>
      <c r="W36" s="245"/>
      <c r="X36" s="247"/>
    </row>
    <row r="37" ht="15.75" customHeight="1">
      <c r="A37" s="264"/>
      <c r="B37" s="245"/>
      <c r="C37" s="245"/>
      <c r="D37" s="245"/>
      <c r="E37" s="245"/>
      <c r="F37" s="245"/>
      <c r="G37" s="245"/>
      <c r="H37" s="245"/>
      <c r="I37" s="245"/>
      <c r="J37" s="245"/>
      <c r="K37" s="245"/>
      <c r="L37" s="245"/>
      <c r="M37" s="245"/>
      <c r="N37" s="265"/>
      <c r="O37" s="266"/>
      <c r="P37" s="245"/>
      <c r="Q37" s="245"/>
      <c r="R37" s="245"/>
      <c r="S37" s="265"/>
      <c r="T37" s="266"/>
      <c r="U37" s="245"/>
      <c r="V37" s="245"/>
      <c r="W37" s="245"/>
      <c r="X37" s="247"/>
    </row>
    <row r="38" ht="15.75" customHeight="1">
      <c r="A38" s="264"/>
      <c r="B38" s="245"/>
      <c r="C38" s="245"/>
      <c r="D38" s="245"/>
      <c r="E38" s="245"/>
      <c r="F38" s="245"/>
      <c r="G38" s="245"/>
      <c r="H38" s="245"/>
      <c r="I38" s="245"/>
      <c r="J38" s="245"/>
      <c r="K38" s="245"/>
      <c r="L38" s="245"/>
      <c r="M38" s="245"/>
      <c r="N38" s="265"/>
      <c r="O38" s="266"/>
      <c r="P38" s="245"/>
      <c r="Q38" s="245"/>
      <c r="R38" s="245"/>
      <c r="S38" s="265"/>
      <c r="T38" s="266"/>
      <c r="U38" s="245"/>
      <c r="V38" s="245"/>
      <c r="W38" s="245"/>
      <c r="X38" s="247"/>
    </row>
    <row r="39" ht="15.75" customHeight="1">
      <c r="A39" s="264"/>
      <c r="B39" s="245"/>
      <c r="C39" s="245"/>
      <c r="D39" s="245"/>
      <c r="E39" s="245"/>
      <c r="F39" s="245"/>
      <c r="G39" s="245"/>
      <c r="H39" s="245"/>
      <c r="I39" s="245"/>
      <c r="J39" s="245"/>
      <c r="K39" s="245"/>
      <c r="L39" s="245"/>
      <c r="M39" s="245"/>
      <c r="N39" s="265"/>
      <c r="O39" s="266"/>
      <c r="P39" s="245"/>
      <c r="Q39" s="245"/>
      <c r="R39" s="245"/>
      <c r="S39" s="265"/>
      <c r="T39" s="266"/>
      <c r="U39" s="245"/>
      <c r="V39" s="245"/>
      <c r="W39" s="245"/>
      <c r="X39" s="247"/>
    </row>
    <row r="40" ht="15.75" customHeight="1">
      <c r="A40" s="267"/>
      <c r="B40" s="256"/>
      <c r="C40" s="256"/>
      <c r="D40" s="256"/>
      <c r="E40" s="256"/>
      <c r="F40" s="256"/>
      <c r="G40" s="256"/>
      <c r="H40" s="256"/>
      <c r="I40" s="256"/>
      <c r="J40" s="256"/>
      <c r="K40" s="256"/>
      <c r="L40" s="256"/>
      <c r="M40" s="256"/>
      <c r="N40" s="268"/>
      <c r="O40" s="269"/>
      <c r="P40" s="256"/>
      <c r="Q40" s="256"/>
      <c r="R40" s="256"/>
      <c r="S40" s="268"/>
      <c r="T40" s="269"/>
      <c r="U40" s="256"/>
      <c r="V40" s="256"/>
      <c r="W40" s="256"/>
      <c r="X40" s="258"/>
    </row>
    <row r="41" ht="15.75" customHeight="1">
      <c r="A41" s="156" t="s">
        <v>118</v>
      </c>
      <c r="B41" s="50"/>
      <c r="C41" s="50"/>
      <c r="D41" s="50"/>
      <c r="E41" s="50"/>
      <c r="F41" s="50"/>
      <c r="G41" s="50"/>
      <c r="H41" s="50"/>
      <c r="I41" s="50"/>
      <c r="J41" s="50"/>
      <c r="K41" s="50"/>
      <c r="L41" s="50"/>
      <c r="M41" s="50"/>
      <c r="N41" s="50"/>
      <c r="O41" s="50"/>
      <c r="P41" s="50"/>
      <c r="Q41" s="50"/>
      <c r="R41" s="50"/>
      <c r="S41" s="50"/>
      <c r="T41" s="50"/>
      <c r="U41" s="50"/>
      <c r="V41" s="50"/>
      <c r="W41" s="50"/>
      <c r="X41" s="51"/>
    </row>
    <row r="42" ht="15.75" customHeight="1">
      <c r="A42" s="270"/>
      <c r="X42" s="80"/>
    </row>
    <row r="43" ht="15.75" customHeight="1">
      <c r="A43" s="79"/>
      <c r="X43" s="80"/>
    </row>
    <row r="44" ht="15.75" customHeight="1">
      <c r="A44" s="79"/>
      <c r="X44" s="80"/>
    </row>
    <row r="45" ht="15.75" customHeight="1">
      <c r="A45" s="79"/>
      <c r="X45" s="80"/>
    </row>
    <row r="46" ht="15.75" customHeight="1">
      <c r="A46" s="79"/>
      <c r="X46" s="80"/>
    </row>
    <row r="47" ht="15.75" customHeight="1">
      <c r="A47" s="39"/>
      <c r="B47" s="81"/>
      <c r="C47" s="81"/>
      <c r="D47" s="81"/>
      <c r="E47" s="81"/>
      <c r="F47" s="81"/>
      <c r="G47" s="81"/>
      <c r="H47" s="81"/>
      <c r="I47" s="81"/>
      <c r="J47" s="81"/>
      <c r="K47" s="81"/>
      <c r="L47" s="81"/>
      <c r="M47" s="81"/>
      <c r="N47" s="81"/>
      <c r="O47" s="81"/>
      <c r="P47" s="81"/>
      <c r="Q47" s="81"/>
      <c r="R47" s="81"/>
      <c r="S47" s="81"/>
      <c r="T47" s="81"/>
      <c r="U47" s="81"/>
      <c r="V47" s="81"/>
      <c r="W47" s="81"/>
      <c r="X47" s="8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0">
    <mergeCell ref="F14:X14"/>
    <mergeCell ref="A15:X15"/>
    <mergeCell ref="B16:C16"/>
    <mergeCell ref="D16:J16"/>
    <mergeCell ref="K16:O16"/>
    <mergeCell ref="P16:X16"/>
    <mergeCell ref="B17:C17"/>
    <mergeCell ref="P17:X17"/>
    <mergeCell ref="D17:J17"/>
    <mergeCell ref="K17:O17"/>
    <mergeCell ref="D18:J18"/>
    <mergeCell ref="K18:O18"/>
    <mergeCell ref="P18:X18"/>
    <mergeCell ref="K19:O19"/>
    <mergeCell ref="P19:X19"/>
    <mergeCell ref="O35:S35"/>
    <mergeCell ref="T35:X35"/>
    <mergeCell ref="A33:N33"/>
    <mergeCell ref="O33:S33"/>
    <mergeCell ref="T33:X33"/>
    <mergeCell ref="A34:N34"/>
    <mergeCell ref="O34:S34"/>
    <mergeCell ref="T34:X34"/>
    <mergeCell ref="A35:N35"/>
    <mergeCell ref="O38:S38"/>
    <mergeCell ref="T38:X38"/>
    <mergeCell ref="A36:N36"/>
    <mergeCell ref="O36:S36"/>
    <mergeCell ref="T36:X36"/>
    <mergeCell ref="A37:N37"/>
    <mergeCell ref="O37:S37"/>
    <mergeCell ref="T37:X37"/>
    <mergeCell ref="A38:N38"/>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39:N39"/>
    <mergeCell ref="O39:S39"/>
    <mergeCell ref="T39:X39"/>
    <mergeCell ref="A40:N40"/>
    <mergeCell ref="O40:S40"/>
    <mergeCell ref="T40:X40"/>
    <mergeCell ref="A41:X41"/>
    <mergeCell ref="A42:X47"/>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K10:O10"/>
    <mergeCell ref="P10:X10"/>
    <mergeCell ref="E5:F5"/>
    <mergeCell ref="G5:H5"/>
    <mergeCell ref="A7:X7"/>
    <mergeCell ref="A8:X8"/>
    <mergeCell ref="A9:X9"/>
    <mergeCell ref="A10:E10"/>
    <mergeCell ref="F10:J10"/>
    <mergeCell ref="P12:X12"/>
    <mergeCell ref="F13:X13"/>
    <mergeCell ref="A11:E11"/>
    <mergeCell ref="F11:J11"/>
    <mergeCell ref="K11:O11"/>
    <mergeCell ref="P11:X11"/>
    <mergeCell ref="A12:E14"/>
    <mergeCell ref="F12:J12"/>
    <mergeCell ref="K12:O12"/>
    <mergeCell ref="D19:J19"/>
    <mergeCell ref="D20:J20"/>
    <mergeCell ref="K20:O20"/>
    <mergeCell ref="P20:X20"/>
    <mergeCell ref="D21:J21"/>
    <mergeCell ref="K21:O21"/>
    <mergeCell ref="P21:X21"/>
    <mergeCell ref="B22:C22"/>
    <mergeCell ref="D22:J22"/>
    <mergeCell ref="K22:O22"/>
    <mergeCell ref="P22:X22"/>
    <mergeCell ref="D23:J23"/>
    <mergeCell ref="K23:O23"/>
    <mergeCell ref="P23:X23"/>
    <mergeCell ref="K25:O25"/>
    <mergeCell ref="P25:X25"/>
    <mergeCell ref="B23:C23"/>
    <mergeCell ref="B24:C24"/>
    <mergeCell ref="D24:J24"/>
    <mergeCell ref="K24:O24"/>
    <mergeCell ref="P24:X24"/>
    <mergeCell ref="B25:C25"/>
    <mergeCell ref="D25:J25"/>
    <mergeCell ref="B26:C26"/>
    <mergeCell ref="D26:J26"/>
    <mergeCell ref="K26:O26"/>
    <mergeCell ref="P26:X26"/>
    <mergeCell ref="D27:J27"/>
    <mergeCell ref="K27:O27"/>
    <mergeCell ref="P27:X27"/>
    <mergeCell ref="B27:C27"/>
    <mergeCell ref="B28:C28"/>
    <mergeCell ref="D28:J28"/>
    <mergeCell ref="K28:O28"/>
    <mergeCell ref="P28:X28"/>
    <mergeCell ref="B29:C29"/>
    <mergeCell ref="D29:J29"/>
    <mergeCell ref="O32:S32"/>
    <mergeCell ref="T32:X32"/>
    <mergeCell ref="K29:O29"/>
    <mergeCell ref="P29:X29"/>
    <mergeCell ref="A30:X30"/>
    <mergeCell ref="A31:N31"/>
    <mergeCell ref="O31:S31"/>
    <mergeCell ref="T31:X31"/>
    <mergeCell ref="A32:N3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206" t="s">
        <v>0</v>
      </c>
      <c r="B1" s="207"/>
      <c r="C1" s="208"/>
      <c r="D1" s="207"/>
      <c r="E1" s="209" t="s">
        <v>1</v>
      </c>
      <c r="F1" s="207"/>
      <c r="G1" s="208" t="s">
        <v>61</v>
      </c>
      <c r="H1" s="207"/>
      <c r="I1" s="209" t="s">
        <v>2</v>
      </c>
      <c r="J1" s="207"/>
      <c r="K1" s="210"/>
      <c r="L1" s="207"/>
      <c r="M1" s="211" t="s">
        <v>3</v>
      </c>
      <c r="N1" s="207"/>
      <c r="O1" s="212">
        <v>4.0</v>
      </c>
      <c r="P1" s="207"/>
      <c r="Q1" s="209" t="s">
        <v>4</v>
      </c>
      <c r="R1" s="207"/>
      <c r="S1" s="208" t="s">
        <v>105</v>
      </c>
      <c r="T1" s="207"/>
      <c r="U1" s="213"/>
      <c r="V1" s="214"/>
      <c r="W1" s="214"/>
      <c r="X1" s="215"/>
    </row>
    <row r="2" ht="15.75" customHeight="1">
      <c r="A2" s="216" t="s">
        <v>5</v>
      </c>
      <c r="B2" s="12"/>
      <c r="C2" s="13"/>
      <c r="D2" s="12"/>
      <c r="E2" s="14" t="s">
        <v>6</v>
      </c>
      <c r="F2" s="12"/>
      <c r="G2" s="13"/>
      <c r="H2" s="12"/>
      <c r="I2" s="14" t="s">
        <v>7</v>
      </c>
      <c r="J2" s="12"/>
      <c r="K2" s="15"/>
      <c r="L2" s="12"/>
      <c r="M2" s="16" t="s">
        <v>8</v>
      </c>
      <c r="N2" s="12"/>
      <c r="O2" s="13" t="s">
        <v>9</v>
      </c>
      <c r="P2" s="12"/>
      <c r="Q2" s="14" t="s">
        <v>10</v>
      </c>
      <c r="R2" s="12"/>
      <c r="S2" s="13" t="s">
        <v>57</v>
      </c>
      <c r="T2" s="12"/>
      <c r="U2" s="217"/>
      <c r="V2" s="218"/>
      <c r="W2" s="218"/>
      <c r="X2" s="219"/>
    </row>
    <row r="3" ht="15.75" customHeight="1">
      <c r="A3" s="216" t="s">
        <v>11</v>
      </c>
      <c r="B3" s="12"/>
      <c r="C3" s="13"/>
      <c r="D3" s="12"/>
      <c r="E3" s="14" t="s">
        <v>12</v>
      </c>
      <c r="F3" s="12"/>
      <c r="G3" s="13" t="s">
        <v>135</v>
      </c>
      <c r="H3" s="12"/>
      <c r="I3" s="14" t="s">
        <v>13</v>
      </c>
      <c r="J3" s="12"/>
      <c r="K3" s="20"/>
      <c r="L3" s="12"/>
      <c r="M3" s="16" t="s">
        <v>14</v>
      </c>
      <c r="N3" s="12"/>
      <c r="O3" s="13" t="s">
        <v>15</v>
      </c>
      <c r="P3" s="12"/>
      <c r="Q3" s="14" t="s">
        <v>16</v>
      </c>
      <c r="R3" s="12"/>
      <c r="S3" s="13" t="s">
        <v>393</v>
      </c>
      <c r="T3" s="12"/>
      <c r="U3" s="220" t="s">
        <v>17</v>
      </c>
      <c r="V3" s="18"/>
      <c r="W3" s="18"/>
      <c r="X3" s="221"/>
    </row>
    <row r="4" ht="15.75" customHeight="1">
      <c r="A4" s="216" t="s">
        <v>18</v>
      </c>
      <c r="B4" s="12"/>
      <c r="C4" s="13" t="s">
        <v>107</v>
      </c>
      <c r="D4" s="12"/>
      <c r="E4" s="14" t="s">
        <v>20</v>
      </c>
      <c r="F4" s="12"/>
      <c r="G4" s="13" t="s">
        <v>61</v>
      </c>
      <c r="H4" s="12"/>
      <c r="I4" s="14" t="s">
        <v>21</v>
      </c>
      <c r="J4" s="12"/>
      <c r="K4" s="24"/>
      <c r="L4" s="25"/>
      <c r="M4" s="26" t="s">
        <v>22</v>
      </c>
      <c r="N4" s="27"/>
      <c r="O4" s="28">
        <v>0.0</v>
      </c>
      <c r="P4" s="27"/>
      <c r="Q4" s="14" t="s">
        <v>23</v>
      </c>
      <c r="R4" s="12"/>
      <c r="S4" s="20"/>
      <c r="T4" s="12"/>
      <c r="U4" s="29" t="s">
        <v>24</v>
      </c>
      <c r="V4" s="22"/>
      <c r="W4" s="22"/>
      <c r="X4" s="222"/>
    </row>
    <row r="5" ht="15.75" customHeight="1">
      <c r="A5" s="223" t="s">
        <v>25</v>
      </c>
      <c r="B5" s="27"/>
      <c r="C5" s="31"/>
      <c r="D5" s="27"/>
      <c r="E5" s="14" t="s">
        <v>27</v>
      </c>
      <c r="F5" s="12"/>
      <c r="G5" s="13" t="s">
        <v>359</v>
      </c>
      <c r="H5" s="12"/>
      <c r="I5" s="14" t="s">
        <v>28</v>
      </c>
      <c r="J5" s="12"/>
      <c r="K5" s="32"/>
      <c r="L5" s="33"/>
      <c r="M5" s="34"/>
      <c r="N5" s="35"/>
      <c r="O5" s="34"/>
      <c r="P5" s="35"/>
      <c r="Q5" s="36" t="s">
        <v>29</v>
      </c>
      <c r="R5" s="27"/>
      <c r="S5" s="37"/>
      <c r="T5" s="27"/>
      <c r="U5" s="38" t="s">
        <v>30</v>
      </c>
      <c r="V5" s="22"/>
      <c r="W5" s="22"/>
      <c r="X5" s="222"/>
    </row>
    <row r="6" ht="15.75" customHeight="1">
      <c r="A6" s="224"/>
      <c r="B6" s="225"/>
      <c r="C6" s="226"/>
      <c r="D6" s="225"/>
      <c r="E6" s="227" t="s">
        <v>31</v>
      </c>
      <c r="F6" s="228"/>
      <c r="G6" s="229" t="s">
        <v>137</v>
      </c>
      <c r="H6" s="228"/>
      <c r="I6" s="227" t="s">
        <v>32</v>
      </c>
      <c r="J6" s="228"/>
      <c r="K6" s="230"/>
      <c r="L6" s="228"/>
      <c r="M6" s="226"/>
      <c r="N6" s="225"/>
      <c r="O6" s="226"/>
      <c r="P6" s="225"/>
      <c r="Q6" s="226"/>
      <c r="R6" s="225"/>
      <c r="S6" s="226"/>
      <c r="T6" s="225"/>
      <c r="U6" s="231" t="s">
        <v>33</v>
      </c>
      <c r="V6" s="232"/>
      <c r="W6" s="232"/>
      <c r="X6" s="233"/>
    </row>
    <row r="7" ht="15.75" customHeight="1">
      <c r="A7" s="234" t="s">
        <v>311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394</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395</v>
      </c>
      <c r="B9" s="50"/>
      <c r="C9" s="50"/>
      <c r="D9" s="50"/>
      <c r="E9" s="50"/>
      <c r="F9" s="50"/>
      <c r="G9" s="50"/>
      <c r="H9" s="50"/>
      <c r="I9" s="50"/>
      <c r="J9" s="50"/>
      <c r="K9" s="50"/>
      <c r="L9" s="50"/>
      <c r="M9" s="50"/>
      <c r="N9" s="50"/>
      <c r="O9" s="50"/>
      <c r="P9" s="50"/>
      <c r="Q9" s="50"/>
      <c r="R9" s="50"/>
      <c r="S9" s="50"/>
      <c r="T9" s="50"/>
      <c r="U9" s="50"/>
      <c r="V9" s="50"/>
      <c r="W9" s="50"/>
      <c r="X9" s="51"/>
    </row>
    <row r="10" ht="15.75" customHeight="1">
      <c r="A10" s="235" t="s">
        <v>396</v>
      </c>
      <c r="B10" s="50"/>
      <c r="C10" s="50"/>
      <c r="D10" s="50"/>
      <c r="E10" s="51"/>
      <c r="F10" s="49" t="s">
        <v>337</v>
      </c>
      <c r="G10" s="50"/>
      <c r="H10" s="50"/>
      <c r="I10" s="50"/>
      <c r="J10" s="51"/>
      <c r="K10" s="235" t="s">
        <v>397</v>
      </c>
      <c r="L10" s="50"/>
      <c r="M10" s="50"/>
      <c r="N10" s="50"/>
      <c r="O10" s="51"/>
      <c r="P10" s="49"/>
      <c r="Q10" s="50"/>
      <c r="R10" s="50"/>
      <c r="S10" s="50"/>
      <c r="T10" s="50"/>
      <c r="U10" s="50"/>
      <c r="V10" s="50"/>
      <c r="W10" s="50"/>
      <c r="X10" s="51"/>
    </row>
    <row r="11" ht="15.75" customHeight="1">
      <c r="A11" s="76" t="s">
        <v>398</v>
      </c>
      <c r="B11" s="50"/>
      <c r="C11" s="50"/>
      <c r="D11" s="50"/>
      <c r="E11" s="51"/>
      <c r="F11" s="75"/>
      <c r="G11" s="50"/>
      <c r="H11" s="50"/>
      <c r="I11" s="50"/>
      <c r="J11" s="51"/>
      <c r="K11" s="235" t="s">
        <v>399</v>
      </c>
      <c r="L11" s="50"/>
      <c r="M11" s="50"/>
      <c r="N11" s="50"/>
      <c r="O11" s="51"/>
      <c r="P11" s="75"/>
      <c r="Q11" s="50"/>
      <c r="R11" s="50"/>
      <c r="S11" s="50"/>
      <c r="T11" s="50"/>
      <c r="U11" s="50"/>
      <c r="V11" s="50"/>
      <c r="W11" s="50"/>
      <c r="X11" s="51"/>
    </row>
    <row r="12" ht="15.75" customHeight="1">
      <c r="A12" s="236" t="s">
        <v>400</v>
      </c>
      <c r="B12" s="9"/>
      <c r="C12" s="9"/>
      <c r="D12" s="9"/>
      <c r="E12" s="10"/>
      <c r="F12" s="75"/>
      <c r="G12" s="50"/>
      <c r="H12" s="50"/>
      <c r="I12" s="50"/>
      <c r="J12" s="51"/>
      <c r="K12" s="235" t="s">
        <v>401</v>
      </c>
      <c r="L12" s="50"/>
      <c r="M12" s="50"/>
      <c r="N12" s="50"/>
      <c r="O12" s="51"/>
      <c r="P12" s="75"/>
      <c r="Q12" s="50"/>
      <c r="R12" s="50"/>
      <c r="S12" s="50"/>
      <c r="T12" s="50"/>
      <c r="U12" s="50"/>
      <c r="V12" s="50"/>
      <c r="W12" s="50"/>
      <c r="X12" s="51"/>
    </row>
    <row r="13" ht="15.75" customHeight="1">
      <c r="A13" s="79"/>
      <c r="E13" s="80"/>
      <c r="F13" s="75"/>
      <c r="G13" s="50"/>
      <c r="H13" s="50"/>
      <c r="I13" s="50"/>
      <c r="J13" s="50"/>
      <c r="K13" s="50"/>
      <c r="L13" s="50"/>
      <c r="M13" s="50"/>
      <c r="N13" s="50"/>
      <c r="O13" s="50"/>
      <c r="P13" s="50"/>
      <c r="Q13" s="50"/>
      <c r="R13" s="50"/>
      <c r="S13" s="50"/>
      <c r="T13" s="50"/>
      <c r="U13" s="50"/>
      <c r="V13" s="50"/>
      <c r="W13" s="50"/>
      <c r="X13" s="51"/>
    </row>
    <row r="14" ht="15.75" customHeight="1">
      <c r="A14" s="39"/>
      <c r="B14" s="81"/>
      <c r="C14" s="81"/>
      <c r="D14" s="81"/>
      <c r="E14" s="82"/>
      <c r="F14" s="75"/>
      <c r="G14" s="50"/>
      <c r="H14" s="50"/>
      <c r="I14" s="50"/>
      <c r="J14" s="50"/>
      <c r="K14" s="50"/>
      <c r="L14" s="50"/>
      <c r="M14" s="50"/>
      <c r="N14" s="50"/>
      <c r="O14" s="50"/>
      <c r="P14" s="50"/>
      <c r="Q14" s="50"/>
      <c r="R14" s="50"/>
      <c r="S14" s="50"/>
      <c r="T14" s="50"/>
      <c r="U14" s="50"/>
      <c r="V14" s="50"/>
      <c r="W14" s="50"/>
      <c r="X14" s="51"/>
    </row>
    <row r="15" ht="15.75" customHeight="1">
      <c r="A15" s="49" t="s">
        <v>402</v>
      </c>
      <c r="B15" s="50"/>
      <c r="C15" s="50"/>
      <c r="D15" s="50"/>
      <c r="E15" s="50"/>
      <c r="F15" s="50"/>
      <c r="G15" s="50"/>
      <c r="H15" s="50"/>
      <c r="I15" s="50"/>
      <c r="J15" s="50"/>
      <c r="K15" s="50"/>
      <c r="L15" s="50"/>
      <c r="M15" s="50"/>
      <c r="N15" s="50"/>
      <c r="O15" s="50"/>
      <c r="P15" s="50"/>
      <c r="Q15" s="50"/>
      <c r="R15" s="50"/>
      <c r="S15" s="50"/>
      <c r="T15" s="50"/>
      <c r="U15" s="50"/>
      <c r="V15" s="50"/>
      <c r="W15" s="50"/>
      <c r="X15" s="51"/>
    </row>
    <row r="16" ht="15.75" customHeight="1">
      <c r="A16" s="271" t="s">
        <v>112</v>
      </c>
      <c r="B16" s="272" t="s">
        <v>369</v>
      </c>
      <c r="C16" s="50"/>
      <c r="D16" s="272" t="s">
        <v>370</v>
      </c>
      <c r="E16" s="50"/>
      <c r="F16" s="50"/>
      <c r="G16" s="50"/>
      <c r="H16" s="50"/>
      <c r="I16" s="50"/>
      <c r="J16" s="51"/>
      <c r="K16" s="272" t="s">
        <v>403</v>
      </c>
      <c r="L16" s="50"/>
      <c r="M16" s="50"/>
      <c r="N16" s="50"/>
      <c r="O16" s="51"/>
      <c r="P16" s="272" t="s">
        <v>404</v>
      </c>
      <c r="Q16" s="50"/>
      <c r="R16" s="50"/>
      <c r="S16" s="50"/>
      <c r="T16" s="50"/>
      <c r="U16" s="50"/>
      <c r="V16" s="50"/>
      <c r="W16" s="50"/>
      <c r="X16" s="51"/>
    </row>
    <row r="17" ht="15.75" customHeight="1">
      <c r="A17" s="237">
        <v>1.0</v>
      </c>
      <c r="B17" s="238" t="s">
        <v>373</v>
      </c>
      <c r="C17" s="218"/>
      <c r="D17" s="239" t="s">
        <v>374</v>
      </c>
      <c r="E17" s="218"/>
      <c r="F17" s="218"/>
      <c r="G17" s="218"/>
      <c r="H17" s="218"/>
      <c r="I17" s="218"/>
      <c r="J17" s="240"/>
      <c r="K17" s="239"/>
      <c r="L17" s="218"/>
      <c r="M17" s="218"/>
      <c r="N17" s="218"/>
      <c r="O17" s="240"/>
      <c r="P17" s="239"/>
      <c r="Q17" s="218"/>
      <c r="R17" s="218"/>
      <c r="S17" s="218"/>
      <c r="T17" s="218"/>
      <c r="U17" s="218"/>
      <c r="V17" s="218"/>
      <c r="W17" s="218"/>
      <c r="X17" s="241"/>
    </row>
    <row r="18" ht="15.75" customHeight="1">
      <c r="A18" s="242">
        <v>2.0</v>
      </c>
      <c r="B18" s="243" t="s">
        <v>377</v>
      </c>
      <c r="C18" s="243"/>
      <c r="D18" s="244" t="s">
        <v>378</v>
      </c>
      <c r="E18" s="245"/>
      <c r="F18" s="245"/>
      <c r="G18" s="245"/>
      <c r="H18" s="245"/>
      <c r="I18" s="245"/>
      <c r="J18" s="246"/>
      <c r="K18" s="244"/>
      <c r="L18" s="245"/>
      <c r="M18" s="245"/>
      <c r="N18" s="245"/>
      <c r="O18" s="246"/>
      <c r="P18" s="244"/>
      <c r="Q18" s="245"/>
      <c r="R18" s="245"/>
      <c r="S18" s="245"/>
      <c r="T18" s="245"/>
      <c r="U18" s="245"/>
      <c r="V18" s="245"/>
      <c r="W18" s="245"/>
      <c r="X18" s="247"/>
    </row>
    <row r="19" ht="15.75" customHeight="1">
      <c r="A19" s="242">
        <v>3.0</v>
      </c>
      <c r="B19" s="243" t="s">
        <v>381</v>
      </c>
      <c r="C19" s="243"/>
      <c r="D19" s="244" t="s">
        <v>382</v>
      </c>
      <c r="E19" s="245"/>
      <c r="F19" s="245"/>
      <c r="G19" s="245"/>
      <c r="H19" s="245"/>
      <c r="I19" s="245"/>
      <c r="J19" s="246"/>
      <c r="K19" s="244"/>
      <c r="L19" s="245"/>
      <c r="M19" s="245"/>
      <c r="N19" s="245"/>
      <c r="O19" s="246"/>
      <c r="P19" s="244"/>
      <c r="Q19" s="245"/>
      <c r="R19" s="245"/>
      <c r="S19" s="245"/>
      <c r="T19" s="245"/>
      <c r="U19" s="245"/>
      <c r="V19" s="245"/>
      <c r="W19" s="245"/>
      <c r="X19" s="247"/>
    </row>
    <row r="20" ht="15.75" customHeight="1">
      <c r="A20" s="242">
        <v>4.0</v>
      </c>
      <c r="B20" s="243" t="s">
        <v>373</v>
      </c>
      <c r="C20" s="243"/>
      <c r="D20" s="244" t="s">
        <v>384</v>
      </c>
      <c r="E20" s="245"/>
      <c r="F20" s="245"/>
      <c r="G20" s="245"/>
      <c r="H20" s="245"/>
      <c r="I20" s="245"/>
      <c r="J20" s="246"/>
      <c r="K20" s="244"/>
      <c r="L20" s="245"/>
      <c r="M20" s="245"/>
      <c r="N20" s="245"/>
      <c r="O20" s="246"/>
      <c r="P20" s="244"/>
      <c r="Q20" s="245"/>
      <c r="R20" s="245"/>
      <c r="S20" s="245"/>
      <c r="T20" s="245"/>
      <c r="U20" s="245"/>
      <c r="V20" s="245"/>
      <c r="W20" s="245"/>
      <c r="X20" s="247"/>
    </row>
    <row r="21" ht="15.75" customHeight="1">
      <c r="A21" s="248">
        <v>5.0</v>
      </c>
      <c r="B21" s="249" t="s">
        <v>373</v>
      </c>
      <c r="C21" s="249"/>
      <c r="D21" s="250" t="s">
        <v>386</v>
      </c>
      <c r="E21" s="251"/>
      <c r="F21" s="251"/>
      <c r="G21" s="251"/>
      <c r="H21" s="251"/>
      <c r="I21" s="251"/>
      <c r="J21" s="252"/>
      <c r="K21" s="244"/>
      <c r="L21" s="245"/>
      <c r="M21" s="245"/>
      <c r="N21" s="245"/>
      <c r="O21" s="246"/>
      <c r="P21" s="244"/>
      <c r="Q21" s="245"/>
      <c r="R21" s="245"/>
      <c r="S21" s="245"/>
      <c r="T21" s="245"/>
      <c r="U21" s="245"/>
      <c r="V21" s="245"/>
      <c r="W21" s="245"/>
      <c r="X21" s="247"/>
    </row>
    <row r="22" ht="15.75" customHeight="1">
      <c r="A22" s="253"/>
      <c r="B22" s="94"/>
      <c r="C22" s="12"/>
      <c r="D22" s="94"/>
      <c r="E22" s="22"/>
      <c r="F22" s="22"/>
      <c r="G22" s="22"/>
      <c r="H22" s="22"/>
      <c r="I22" s="22"/>
      <c r="J22" s="12"/>
      <c r="K22" s="244"/>
      <c r="L22" s="245"/>
      <c r="M22" s="245"/>
      <c r="N22" s="245"/>
      <c r="O22" s="246"/>
      <c r="P22" s="244"/>
      <c r="Q22" s="245"/>
      <c r="R22" s="245"/>
      <c r="S22" s="245"/>
      <c r="T22" s="245"/>
      <c r="U22" s="245"/>
      <c r="V22" s="245"/>
      <c r="W22" s="245"/>
      <c r="X22" s="247"/>
    </row>
    <row r="23" ht="15.75" customHeight="1">
      <c r="A23" s="253"/>
      <c r="B23" s="94"/>
      <c r="C23" s="12"/>
      <c r="D23" s="94"/>
      <c r="E23" s="22"/>
      <c r="F23" s="22"/>
      <c r="G23" s="22"/>
      <c r="H23" s="22"/>
      <c r="I23" s="22"/>
      <c r="J23" s="12"/>
      <c r="K23" s="244"/>
      <c r="L23" s="245"/>
      <c r="M23" s="245"/>
      <c r="N23" s="245"/>
      <c r="O23" s="246"/>
      <c r="P23" s="244"/>
      <c r="Q23" s="245"/>
      <c r="R23" s="245"/>
      <c r="S23" s="245"/>
      <c r="T23" s="245"/>
      <c r="U23" s="245"/>
      <c r="V23" s="245"/>
      <c r="W23" s="245"/>
      <c r="X23" s="247"/>
    </row>
    <row r="24" ht="15.75" customHeight="1">
      <c r="A24" s="253"/>
      <c r="B24" s="94"/>
      <c r="C24" s="12"/>
      <c r="D24" s="94"/>
      <c r="E24" s="22"/>
      <c r="F24" s="22"/>
      <c r="G24" s="22"/>
      <c r="H24" s="22"/>
      <c r="I24" s="22"/>
      <c r="J24" s="12"/>
      <c r="K24" s="244"/>
      <c r="L24" s="245"/>
      <c r="M24" s="245"/>
      <c r="N24" s="245"/>
      <c r="O24" s="246"/>
      <c r="P24" s="244"/>
      <c r="Q24" s="245"/>
      <c r="R24" s="245"/>
      <c r="S24" s="245"/>
      <c r="T24" s="245"/>
      <c r="U24" s="245"/>
      <c r="V24" s="245"/>
      <c r="W24" s="245"/>
      <c r="X24" s="247"/>
    </row>
    <row r="25" ht="15.75" customHeight="1">
      <c r="A25" s="253"/>
      <c r="B25" s="94"/>
      <c r="C25" s="12"/>
      <c r="D25" s="94"/>
      <c r="E25" s="22"/>
      <c r="F25" s="22"/>
      <c r="G25" s="22"/>
      <c r="H25" s="22"/>
      <c r="I25" s="22"/>
      <c r="J25" s="12"/>
      <c r="K25" s="244"/>
      <c r="L25" s="245"/>
      <c r="M25" s="245"/>
      <c r="N25" s="245"/>
      <c r="O25" s="246"/>
      <c r="P25" s="244"/>
      <c r="Q25" s="245"/>
      <c r="R25" s="245"/>
      <c r="S25" s="245"/>
      <c r="T25" s="245"/>
      <c r="U25" s="245"/>
      <c r="V25" s="245"/>
      <c r="W25" s="245"/>
      <c r="X25" s="247"/>
    </row>
    <row r="26" ht="15.75" customHeight="1">
      <c r="A26" s="253"/>
      <c r="B26" s="94"/>
      <c r="C26" s="12"/>
      <c r="D26" s="94"/>
      <c r="E26" s="22"/>
      <c r="F26" s="22"/>
      <c r="G26" s="22"/>
      <c r="H26" s="22"/>
      <c r="I26" s="22"/>
      <c r="J26" s="12"/>
      <c r="K26" s="244"/>
      <c r="L26" s="245"/>
      <c r="M26" s="245"/>
      <c r="N26" s="245"/>
      <c r="O26" s="246"/>
      <c r="P26" s="244"/>
      <c r="Q26" s="245"/>
      <c r="R26" s="245"/>
      <c r="S26" s="245"/>
      <c r="T26" s="245"/>
      <c r="U26" s="245"/>
      <c r="V26" s="245"/>
      <c r="W26" s="245"/>
      <c r="X26" s="247"/>
    </row>
    <row r="27" ht="15.75" customHeight="1">
      <c r="A27" s="253"/>
      <c r="B27" s="94"/>
      <c r="C27" s="12"/>
      <c r="D27" s="94"/>
      <c r="E27" s="22"/>
      <c r="F27" s="22"/>
      <c r="G27" s="22"/>
      <c r="H27" s="22"/>
      <c r="I27" s="22"/>
      <c r="J27" s="12"/>
      <c r="K27" s="244"/>
      <c r="L27" s="245"/>
      <c r="M27" s="245"/>
      <c r="N27" s="245"/>
      <c r="O27" s="246"/>
      <c r="P27" s="244"/>
      <c r="Q27" s="245"/>
      <c r="R27" s="245"/>
      <c r="S27" s="245"/>
      <c r="T27" s="245"/>
      <c r="U27" s="245"/>
      <c r="V27" s="245"/>
      <c r="W27" s="245"/>
      <c r="X27" s="247"/>
    </row>
    <row r="28" ht="15.75" customHeight="1">
      <c r="A28" s="253"/>
      <c r="B28" s="94"/>
      <c r="C28" s="12"/>
      <c r="D28" s="94"/>
      <c r="E28" s="22"/>
      <c r="F28" s="22"/>
      <c r="G28" s="22"/>
      <c r="H28" s="22"/>
      <c r="I28" s="22"/>
      <c r="J28" s="12"/>
      <c r="K28" s="244"/>
      <c r="L28" s="245"/>
      <c r="M28" s="245"/>
      <c r="N28" s="245"/>
      <c r="O28" s="246"/>
      <c r="P28" s="244"/>
      <c r="Q28" s="245"/>
      <c r="R28" s="245"/>
      <c r="S28" s="245"/>
      <c r="T28" s="245"/>
      <c r="U28" s="245"/>
      <c r="V28" s="245"/>
      <c r="W28" s="245"/>
      <c r="X28" s="247"/>
    </row>
    <row r="29" ht="15.75" customHeight="1">
      <c r="A29" s="254"/>
      <c r="B29" s="98"/>
      <c r="C29" s="43"/>
      <c r="D29" s="98"/>
      <c r="E29" s="47"/>
      <c r="F29" s="47"/>
      <c r="G29" s="47"/>
      <c r="H29" s="47"/>
      <c r="I29" s="47"/>
      <c r="J29" s="43"/>
      <c r="K29" s="255"/>
      <c r="L29" s="256"/>
      <c r="M29" s="256"/>
      <c r="N29" s="256"/>
      <c r="O29" s="257"/>
      <c r="P29" s="255"/>
      <c r="Q29" s="256"/>
      <c r="R29" s="256"/>
      <c r="S29" s="256"/>
      <c r="T29" s="256"/>
      <c r="U29" s="256"/>
      <c r="V29" s="256"/>
      <c r="W29" s="256"/>
      <c r="X29" s="258"/>
    </row>
    <row r="30" ht="15.75" customHeight="1">
      <c r="A30" s="158" t="s">
        <v>405</v>
      </c>
      <c r="B30" s="81"/>
      <c r="C30" s="81"/>
      <c r="D30" s="81"/>
      <c r="E30" s="81"/>
      <c r="F30" s="81"/>
      <c r="G30" s="81"/>
      <c r="H30" s="81"/>
      <c r="I30" s="81"/>
      <c r="J30" s="81"/>
      <c r="K30" s="81"/>
      <c r="L30" s="81"/>
      <c r="M30" s="81"/>
      <c r="N30" s="81"/>
      <c r="O30" s="81"/>
      <c r="P30" s="81"/>
      <c r="Q30" s="81"/>
      <c r="R30" s="81"/>
      <c r="S30" s="81"/>
      <c r="T30" s="81"/>
      <c r="U30" s="81"/>
      <c r="V30" s="81"/>
      <c r="W30" s="81"/>
      <c r="X30" s="82"/>
    </row>
    <row r="31" ht="15.75" customHeight="1">
      <c r="A31" s="76" t="s">
        <v>112</v>
      </c>
      <c r="B31" s="273" t="s">
        <v>406</v>
      </c>
      <c r="C31" s="50"/>
      <c r="D31" s="50"/>
      <c r="E31" s="50"/>
      <c r="F31" s="50"/>
      <c r="G31" s="50"/>
      <c r="H31" s="50"/>
      <c r="I31" s="50"/>
      <c r="J31" s="50"/>
      <c r="K31" s="50"/>
      <c r="L31" s="50"/>
      <c r="M31" s="50"/>
      <c r="N31" s="50"/>
      <c r="O31" s="50"/>
      <c r="P31" s="50"/>
      <c r="Q31" s="50"/>
      <c r="R31" s="50"/>
      <c r="S31" s="51"/>
      <c r="T31" s="76" t="s">
        <v>407</v>
      </c>
      <c r="U31" s="50"/>
      <c r="V31" s="50"/>
      <c r="W31" s="50"/>
      <c r="X31" s="51"/>
    </row>
    <row r="32" ht="15.75" customHeight="1">
      <c r="A32" s="259"/>
      <c r="B32" s="262"/>
      <c r="C32" s="260"/>
      <c r="D32" s="260"/>
      <c r="E32" s="260"/>
      <c r="F32" s="260"/>
      <c r="G32" s="260"/>
      <c r="H32" s="260"/>
      <c r="I32" s="260"/>
      <c r="J32" s="260"/>
      <c r="K32" s="260"/>
      <c r="L32" s="260"/>
      <c r="M32" s="260"/>
      <c r="N32" s="260"/>
      <c r="O32" s="260"/>
      <c r="P32" s="260"/>
      <c r="Q32" s="260"/>
      <c r="R32" s="260"/>
      <c r="S32" s="261"/>
      <c r="T32" s="262"/>
      <c r="U32" s="260"/>
      <c r="V32" s="260"/>
      <c r="W32" s="260"/>
      <c r="X32" s="263"/>
    </row>
    <row r="33" ht="15.75" customHeight="1">
      <c r="A33" s="264"/>
      <c r="B33" s="266"/>
      <c r="C33" s="245"/>
      <c r="D33" s="245"/>
      <c r="E33" s="245"/>
      <c r="F33" s="245"/>
      <c r="G33" s="245"/>
      <c r="H33" s="245"/>
      <c r="I33" s="245"/>
      <c r="J33" s="245"/>
      <c r="K33" s="245"/>
      <c r="L33" s="245"/>
      <c r="M33" s="245"/>
      <c r="N33" s="245"/>
      <c r="O33" s="245"/>
      <c r="P33" s="245"/>
      <c r="Q33" s="245"/>
      <c r="R33" s="245"/>
      <c r="S33" s="265"/>
      <c r="T33" s="266"/>
      <c r="U33" s="245"/>
      <c r="V33" s="245"/>
      <c r="W33" s="245"/>
      <c r="X33" s="247"/>
    </row>
    <row r="34" ht="15.75" customHeight="1">
      <c r="A34" s="264"/>
      <c r="B34" s="266"/>
      <c r="C34" s="245"/>
      <c r="D34" s="245"/>
      <c r="E34" s="245"/>
      <c r="F34" s="245"/>
      <c r="G34" s="245"/>
      <c r="H34" s="245"/>
      <c r="I34" s="245"/>
      <c r="J34" s="245"/>
      <c r="K34" s="245"/>
      <c r="L34" s="245"/>
      <c r="M34" s="245"/>
      <c r="N34" s="245"/>
      <c r="O34" s="245"/>
      <c r="P34" s="245"/>
      <c r="Q34" s="245"/>
      <c r="R34" s="245"/>
      <c r="S34" s="265"/>
      <c r="T34" s="266"/>
      <c r="U34" s="245"/>
      <c r="V34" s="245"/>
      <c r="W34" s="245"/>
      <c r="X34" s="247"/>
    </row>
    <row r="35" ht="15.75" customHeight="1">
      <c r="A35" s="264"/>
      <c r="B35" s="266"/>
      <c r="C35" s="245"/>
      <c r="D35" s="245"/>
      <c r="E35" s="245"/>
      <c r="F35" s="245"/>
      <c r="G35" s="245"/>
      <c r="H35" s="245"/>
      <c r="I35" s="245"/>
      <c r="J35" s="245"/>
      <c r="K35" s="245"/>
      <c r="L35" s="245"/>
      <c r="M35" s="245"/>
      <c r="N35" s="245"/>
      <c r="O35" s="245"/>
      <c r="P35" s="245"/>
      <c r="Q35" s="245"/>
      <c r="R35" s="245"/>
      <c r="S35" s="265"/>
      <c r="T35" s="266"/>
      <c r="U35" s="245"/>
      <c r="V35" s="245"/>
      <c r="W35" s="245"/>
      <c r="X35" s="247"/>
    </row>
    <row r="36" ht="15.75" customHeight="1">
      <c r="A36" s="264"/>
      <c r="B36" s="266"/>
      <c r="C36" s="245"/>
      <c r="D36" s="245"/>
      <c r="E36" s="245"/>
      <c r="F36" s="245"/>
      <c r="G36" s="245"/>
      <c r="H36" s="245"/>
      <c r="I36" s="245"/>
      <c r="J36" s="245"/>
      <c r="K36" s="245"/>
      <c r="L36" s="245"/>
      <c r="M36" s="245"/>
      <c r="N36" s="245"/>
      <c r="O36" s="245"/>
      <c r="P36" s="245"/>
      <c r="Q36" s="245"/>
      <c r="R36" s="245"/>
      <c r="S36" s="265"/>
      <c r="T36" s="266"/>
      <c r="U36" s="245"/>
      <c r="V36" s="245"/>
      <c r="W36" s="245"/>
      <c r="X36" s="247"/>
    </row>
    <row r="37" ht="15.75" customHeight="1">
      <c r="A37" s="264"/>
      <c r="B37" s="266"/>
      <c r="C37" s="245"/>
      <c r="D37" s="245"/>
      <c r="E37" s="245"/>
      <c r="F37" s="245"/>
      <c r="G37" s="245"/>
      <c r="H37" s="245"/>
      <c r="I37" s="245"/>
      <c r="J37" s="245"/>
      <c r="K37" s="245"/>
      <c r="L37" s="245"/>
      <c r="M37" s="245"/>
      <c r="N37" s="245"/>
      <c r="O37" s="245"/>
      <c r="P37" s="245"/>
      <c r="Q37" s="245"/>
      <c r="R37" s="245"/>
      <c r="S37" s="265"/>
      <c r="T37" s="266"/>
      <c r="U37" s="245"/>
      <c r="V37" s="245"/>
      <c r="W37" s="245"/>
      <c r="X37" s="247"/>
    </row>
    <row r="38" ht="15.75" customHeight="1">
      <c r="A38" s="264"/>
      <c r="B38" s="266"/>
      <c r="C38" s="245"/>
      <c r="D38" s="245"/>
      <c r="E38" s="245"/>
      <c r="F38" s="245"/>
      <c r="G38" s="245"/>
      <c r="H38" s="245"/>
      <c r="I38" s="245"/>
      <c r="J38" s="245"/>
      <c r="K38" s="245"/>
      <c r="L38" s="245"/>
      <c r="M38" s="245"/>
      <c r="N38" s="245"/>
      <c r="O38" s="245"/>
      <c r="P38" s="245"/>
      <c r="Q38" s="245"/>
      <c r="R38" s="245"/>
      <c r="S38" s="265"/>
      <c r="T38" s="266"/>
      <c r="U38" s="245"/>
      <c r="V38" s="245"/>
      <c r="W38" s="245"/>
      <c r="X38" s="247"/>
    </row>
    <row r="39" ht="15.75" customHeight="1">
      <c r="A39" s="264"/>
      <c r="B39" s="266"/>
      <c r="C39" s="245"/>
      <c r="D39" s="245"/>
      <c r="E39" s="245"/>
      <c r="F39" s="245"/>
      <c r="G39" s="245"/>
      <c r="H39" s="245"/>
      <c r="I39" s="245"/>
      <c r="J39" s="245"/>
      <c r="K39" s="245"/>
      <c r="L39" s="245"/>
      <c r="M39" s="245"/>
      <c r="N39" s="245"/>
      <c r="O39" s="245"/>
      <c r="P39" s="245"/>
      <c r="Q39" s="245"/>
      <c r="R39" s="245"/>
      <c r="S39" s="265"/>
      <c r="T39" s="266"/>
      <c r="U39" s="245"/>
      <c r="V39" s="245"/>
      <c r="W39" s="245"/>
      <c r="X39" s="247"/>
    </row>
    <row r="40" ht="15.75" customHeight="1">
      <c r="A40" s="274"/>
      <c r="B40" s="266"/>
      <c r="C40" s="245"/>
      <c r="D40" s="245"/>
      <c r="E40" s="245"/>
      <c r="F40" s="245"/>
      <c r="G40" s="245"/>
      <c r="H40" s="245"/>
      <c r="I40" s="245"/>
      <c r="J40" s="245"/>
      <c r="K40" s="245"/>
      <c r="L40" s="245"/>
      <c r="M40" s="245"/>
      <c r="N40" s="245"/>
      <c r="O40" s="245"/>
      <c r="P40" s="245"/>
      <c r="Q40" s="245"/>
      <c r="R40" s="245"/>
      <c r="S40" s="265"/>
      <c r="T40" s="275"/>
      <c r="U40" s="251"/>
      <c r="V40" s="251"/>
      <c r="W40" s="251"/>
      <c r="X40" s="276"/>
    </row>
    <row r="41" ht="15.75" customHeight="1">
      <c r="A41" s="277" t="s">
        <v>408</v>
      </c>
      <c r="B41" s="278"/>
      <c r="C41" s="278"/>
      <c r="D41" s="278"/>
      <c r="E41" s="278"/>
      <c r="F41" s="278"/>
      <c r="G41" s="278"/>
      <c r="H41" s="278"/>
      <c r="I41" s="278"/>
      <c r="J41" s="278"/>
      <c r="K41" s="278"/>
      <c r="L41" s="278"/>
      <c r="M41" s="278"/>
      <c r="N41" s="278"/>
      <c r="O41" s="278"/>
      <c r="P41" s="278"/>
      <c r="Q41" s="278"/>
      <c r="R41" s="278"/>
      <c r="S41" s="278"/>
      <c r="T41" s="278"/>
      <c r="U41" s="278"/>
      <c r="V41" s="278"/>
      <c r="W41" s="278"/>
      <c r="X41" s="279"/>
    </row>
    <row r="42" ht="15.75" customHeight="1">
      <c r="A42" s="270" t="s">
        <v>409</v>
      </c>
      <c r="D42" s="280" t="s">
        <v>410</v>
      </c>
      <c r="X42" s="80"/>
    </row>
    <row r="43" ht="15.75" customHeight="1">
      <c r="A43" s="79"/>
      <c r="X43" s="80"/>
    </row>
    <row r="44" ht="15.75" customHeight="1">
      <c r="A44" s="270" t="s">
        <v>411</v>
      </c>
      <c r="D44" s="280" t="s">
        <v>412</v>
      </c>
      <c r="X44" s="80"/>
    </row>
    <row r="45" ht="15.75" customHeight="1">
      <c r="A45" s="79"/>
      <c r="X45" s="80"/>
    </row>
    <row r="46" ht="15.75" customHeight="1">
      <c r="A46" s="270" t="s">
        <v>413</v>
      </c>
      <c r="D46" s="280" t="s">
        <v>414</v>
      </c>
      <c r="X46" s="80"/>
    </row>
    <row r="47" ht="15.75" customHeight="1">
      <c r="A47" s="39"/>
      <c r="B47" s="81"/>
      <c r="C47" s="81"/>
      <c r="D47" s="81"/>
      <c r="E47" s="81"/>
      <c r="F47" s="81"/>
      <c r="G47" s="81"/>
      <c r="H47" s="81"/>
      <c r="I47" s="81"/>
      <c r="J47" s="81"/>
      <c r="K47" s="81"/>
      <c r="L47" s="81"/>
      <c r="M47" s="81"/>
      <c r="N47" s="81"/>
      <c r="O47" s="81"/>
      <c r="P47" s="81"/>
      <c r="Q47" s="81"/>
      <c r="R47" s="81"/>
      <c r="S47" s="81"/>
      <c r="T47" s="81"/>
      <c r="U47" s="81"/>
      <c r="V47" s="81"/>
      <c r="W47" s="81"/>
      <c r="X47" s="8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5">
    <mergeCell ref="F14:X14"/>
    <mergeCell ref="A15:X15"/>
    <mergeCell ref="B16:C16"/>
    <mergeCell ref="D16:J16"/>
    <mergeCell ref="K16:O16"/>
    <mergeCell ref="P16:X16"/>
    <mergeCell ref="B17:C17"/>
    <mergeCell ref="P17:X17"/>
    <mergeCell ref="D17:J17"/>
    <mergeCell ref="K17:O17"/>
    <mergeCell ref="D18:J18"/>
    <mergeCell ref="K18:O18"/>
    <mergeCell ref="P18:X18"/>
    <mergeCell ref="K19:O19"/>
    <mergeCell ref="P19:X19"/>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K29:O29"/>
    <mergeCell ref="P29:X29"/>
    <mergeCell ref="A30:X30"/>
    <mergeCell ref="B31:S31"/>
    <mergeCell ref="T31:X31"/>
    <mergeCell ref="B32:S32"/>
    <mergeCell ref="T32:X32"/>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K10:O10"/>
    <mergeCell ref="P10:X10"/>
    <mergeCell ref="E5:F5"/>
    <mergeCell ref="G5:H5"/>
    <mergeCell ref="A7:X7"/>
    <mergeCell ref="A8:X8"/>
    <mergeCell ref="A9:X9"/>
    <mergeCell ref="A10:E10"/>
    <mergeCell ref="F10:J10"/>
    <mergeCell ref="P12:X12"/>
    <mergeCell ref="F13:X13"/>
    <mergeCell ref="A11:E11"/>
    <mergeCell ref="F11:J11"/>
    <mergeCell ref="K11:O11"/>
    <mergeCell ref="P11:X11"/>
    <mergeCell ref="A12:E14"/>
    <mergeCell ref="F12:J12"/>
    <mergeCell ref="K12:O12"/>
    <mergeCell ref="D19:J19"/>
    <mergeCell ref="D20:J20"/>
    <mergeCell ref="K20:O20"/>
    <mergeCell ref="P20:X20"/>
    <mergeCell ref="D21:J21"/>
    <mergeCell ref="K21:O21"/>
    <mergeCell ref="P21:X21"/>
    <mergeCell ref="B22:C22"/>
    <mergeCell ref="D22:J22"/>
    <mergeCell ref="K22:O22"/>
    <mergeCell ref="P22:X22"/>
    <mergeCell ref="D23:J23"/>
    <mergeCell ref="K23:O23"/>
    <mergeCell ref="P23:X23"/>
    <mergeCell ref="K25:O25"/>
    <mergeCell ref="P25:X25"/>
    <mergeCell ref="B23:C23"/>
    <mergeCell ref="B24:C24"/>
    <mergeCell ref="D24:J24"/>
    <mergeCell ref="K24:O24"/>
    <mergeCell ref="P24:X24"/>
    <mergeCell ref="B25:C25"/>
    <mergeCell ref="D25:J25"/>
    <mergeCell ref="B26:C26"/>
    <mergeCell ref="D26:J26"/>
    <mergeCell ref="K26:O26"/>
    <mergeCell ref="P26:X26"/>
    <mergeCell ref="D27:J27"/>
    <mergeCell ref="K27:O27"/>
    <mergeCell ref="P27:X27"/>
    <mergeCell ref="B27:C27"/>
    <mergeCell ref="B28:C28"/>
    <mergeCell ref="D28:J28"/>
    <mergeCell ref="K28:O28"/>
    <mergeCell ref="P28:X28"/>
    <mergeCell ref="B29:C29"/>
    <mergeCell ref="D29:J29"/>
    <mergeCell ref="B33:S33"/>
    <mergeCell ref="T33:X33"/>
    <mergeCell ref="B34:S34"/>
    <mergeCell ref="T34:X34"/>
    <mergeCell ref="B35:S35"/>
    <mergeCell ref="T35:X35"/>
    <mergeCell ref="T36:X36"/>
    <mergeCell ref="B36:S36"/>
    <mergeCell ref="B37:S37"/>
    <mergeCell ref="T37:X37"/>
    <mergeCell ref="B38:S38"/>
    <mergeCell ref="T38:X38"/>
    <mergeCell ref="B39:S39"/>
    <mergeCell ref="T39:X39"/>
    <mergeCell ref="A46:C47"/>
    <mergeCell ref="D46:X47"/>
    <mergeCell ref="B40:S40"/>
    <mergeCell ref="T40:X40"/>
    <mergeCell ref="A41:X41"/>
    <mergeCell ref="A42:C43"/>
    <mergeCell ref="D42:X43"/>
    <mergeCell ref="A44:C45"/>
    <mergeCell ref="D44:X4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206" t="s">
        <v>0</v>
      </c>
      <c r="B1" s="207"/>
      <c r="C1" s="208"/>
      <c r="D1" s="207"/>
      <c r="E1" s="209" t="s">
        <v>1</v>
      </c>
      <c r="F1" s="207"/>
      <c r="G1" s="208" t="s">
        <v>415</v>
      </c>
      <c r="H1" s="207"/>
      <c r="I1" s="209" t="s">
        <v>2</v>
      </c>
      <c r="J1" s="207"/>
      <c r="K1" s="210"/>
      <c r="L1" s="207"/>
      <c r="M1" s="211" t="s">
        <v>3</v>
      </c>
      <c r="N1" s="207"/>
      <c r="O1" s="212">
        <v>4.0</v>
      </c>
      <c r="P1" s="207"/>
      <c r="Q1" s="209" t="s">
        <v>4</v>
      </c>
      <c r="R1" s="207"/>
      <c r="S1" s="208" t="s">
        <v>105</v>
      </c>
      <c r="T1" s="207"/>
      <c r="U1" s="213"/>
      <c r="V1" s="214"/>
      <c r="W1" s="214"/>
      <c r="X1" s="215"/>
    </row>
    <row r="2" ht="15.75" customHeight="1">
      <c r="A2" s="216" t="s">
        <v>5</v>
      </c>
      <c r="B2" s="12"/>
      <c r="C2" s="13"/>
      <c r="D2" s="12"/>
      <c r="E2" s="14" t="s">
        <v>6</v>
      </c>
      <c r="F2" s="12"/>
      <c r="G2" s="13"/>
      <c r="H2" s="12"/>
      <c r="I2" s="14" t="s">
        <v>7</v>
      </c>
      <c r="J2" s="12"/>
      <c r="K2" s="15"/>
      <c r="L2" s="12"/>
      <c r="M2" s="16" t="s">
        <v>8</v>
      </c>
      <c r="N2" s="12"/>
      <c r="O2" s="13" t="s">
        <v>9</v>
      </c>
      <c r="P2" s="12"/>
      <c r="Q2" s="14" t="s">
        <v>10</v>
      </c>
      <c r="R2" s="12"/>
      <c r="S2" s="13" t="s">
        <v>393</v>
      </c>
      <c r="T2" s="12"/>
      <c r="U2" s="217"/>
      <c r="V2" s="218"/>
      <c r="W2" s="218"/>
      <c r="X2" s="219"/>
    </row>
    <row r="3" ht="15.75" customHeight="1">
      <c r="A3" s="216" t="s">
        <v>11</v>
      </c>
      <c r="B3" s="12"/>
      <c r="C3" s="13"/>
      <c r="D3" s="12"/>
      <c r="E3" s="14" t="s">
        <v>12</v>
      </c>
      <c r="F3" s="12"/>
      <c r="G3" s="13" t="s">
        <v>135</v>
      </c>
      <c r="H3" s="12"/>
      <c r="I3" s="14" t="s">
        <v>13</v>
      </c>
      <c r="J3" s="12"/>
      <c r="K3" s="20"/>
      <c r="L3" s="12"/>
      <c r="M3" s="16" t="s">
        <v>14</v>
      </c>
      <c r="N3" s="12"/>
      <c r="O3" s="13" t="s">
        <v>15</v>
      </c>
      <c r="P3" s="12"/>
      <c r="Q3" s="14" t="s">
        <v>16</v>
      </c>
      <c r="R3" s="12"/>
      <c r="S3" s="13" t="s">
        <v>69</v>
      </c>
      <c r="T3" s="12"/>
      <c r="U3" s="220" t="s">
        <v>17</v>
      </c>
      <c r="V3" s="18"/>
      <c r="W3" s="18"/>
      <c r="X3" s="221"/>
    </row>
    <row r="4" ht="15.75" customHeight="1">
      <c r="A4" s="216" t="s">
        <v>18</v>
      </c>
      <c r="B4" s="12"/>
      <c r="C4" s="13" t="s">
        <v>107</v>
      </c>
      <c r="D4" s="12"/>
      <c r="E4" s="14" t="s">
        <v>20</v>
      </c>
      <c r="F4" s="12"/>
      <c r="G4" s="13" t="s">
        <v>415</v>
      </c>
      <c r="H4" s="12"/>
      <c r="I4" s="14" t="s">
        <v>21</v>
      </c>
      <c r="J4" s="12"/>
      <c r="K4" s="24"/>
      <c r="L4" s="25"/>
      <c r="M4" s="26" t="s">
        <v>22</v>
      </c>
      <c r="N4" s="27"/>
      <c r="O4" s="28">
        <v>0.0</v>
      </c>
      <c r="P4" s="27"/>
      <c r="Q4" s="14" t="s">
        <v>23</v>
      </c>
      <c r="R4" s="12"/>
      <c r="S4" s="20"/>
      <c r="T4" s="12"/>
      <c r="U4" s="29" t="s">
        <v>24</v>
      </c>
      <c r="V4" s="22"/>
      <c r="W4" s="22"/>
      <c r="X4" s="222"/>
    </row>
    <row r="5" ht="15.75" customHeight="1">
      <c r="A5" s="223" t="s">
        <v>25</v>
      </c>
      <c r="B5" s="27"/>
      <c r="C5" s="31"/>
      <c r="D5" s="27"/>
      <c r="E5" s="14" t="s">
        <v>27</v>
      </c>
      <c r="F5" s="12"/>
      <c r="G5" s="13" t="s">
        <v>393</v>
      </c>
      <c r="H5" s="12"/>
      <c r="I5" s="14" t="s">
        <v>28</v>
      </c>
      <c r="J5" s="12"/>
      <c r="K5" s="32"/>
      <c r="L5" s="33"/>
      <c r="M5" s="34"/>
      <c r="N5" s="35"/>
      <c r="O5" s="34"/>
      <c r="P5" s="35"/>
      <c r="Q5" s="36" t="s">
        <v>29</v>
      </c>
      <c r="R5" s="27"/>
      <c r="S5" s="37"/>
      <c r="T5" s="27"/>
      <c r="U5" s="38" t="s">
        <v>30</v>
      </c>
      <c r="V5" s="22"/>
      <c r="W5" s="22"/>
      <c r="X5" s="222"/>
    </row>
    <row r="6" ht="15.75" customHeight="1">
      <c r="A6" s="224"/>
      <c r="B6" s="225"/>
      <c r="C6" s="226"/>
      <c r="D6" s="225"/>
      <c r="E6" s="227" t="s">
        <v>31</v>
      </c>
      <c r="F6" s="228"/>
      <c r="G6" s="229" t="s">
        <v>137</v>
      </c>
      <c r="H6" s="228"/>
      <c r="I6" s="227" t="s">
        <v>32</v>
      </c>
      <c r="J6" s="228"/>
      <c r="K6" s="230"/>
      <c r="L6" s="228"/>
      <c r="M6" s="226"/>
      <c r="N6" s="225"/>
      <c r="O6" s="226"/>
      <c r="P6" s="225"/>
      <c r="Q6" s="226"/>
      <c r="R6" s="225"/>
      <c r="S6" s="226"/>
      <c r="T6" s="225"/>
      <c r="U6" s="231" t="s">
        <v>33</v>
      </c>
      <c r="V6" s="232"/>
      <c r="W6" s="232"/>
      <c r="X6" s="233"/>
    </row>
    <row r="7" ht="15.75" customHeight="1">
      <c r="A7" s="234" t="s">
        <v>311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416</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417</v>
      </c>
      <c r="B9" s="50"/>
      <c r="C9" s="50"/>
      <c r="D9" s="50"/>
      <c r="E9" s="50"/>
      <c r="F9" s="50"/>
      <c r="G9" s="50"/>
      <c r="H9" s="50"/>
      <c r="I9" s="50"/>
      <c r="J9" s="50"/>
      <c r="K9" s="50"/>
      <c r="L9" s="50"/>
      <c r="M9" s="50"/>
      <c r="N9" s="50"/>
      <c r="O9" s="50"/>
      <c r="P9" s="50"/>
      <c r="Q9" s="50"/>
      <c r="R9" s="50"/>
      <c r="S9" s="50"/>
      <c r="T9" s="50"/>
      <c r="U9" s="50"/>
      <c r="V9" s="50"/>
      <c r="W9" s="50"/>
      <c r="X9" s="51"/>
    </row>
    <row r="10" ht="15.75" customHeight="1">
      <c r="A10" s="235" t="s">
        <v>418</v>
      </c>
      <c r="B10" s="50"/>
      <c r="C10" s="50"/>
      <c r="D10" s="50"/>
      <c r="E10" s="51"/>
      <c r="F10" s="49"/>
      <c r="G10" s="50"/>
      <c r="H10" s="50"/>
      <c r="I10" s="50"/>
      <c r="J10" s="50"/>
      <c r="K10" s="50"/>
      <c r="L10" s="50"/>
      <c r="M10" s="50"/>
      <c r="N10" s="50"/>
      <c r="O10" s="50"/>
      <c r="P10" s="50"/>
      <c r="Q10" s="50"/>
      <c r="R10" s="50"/>
      <c r="S10" s="50"/>
      <c r="T10" s="50"/>
      <c r="U10" s="50"/>
      <c r="V10" s="50"/>
      <c r="W10" s="50"/>
      <c r="X10" s="51"/>
    </row>
    <row r="11" ht="15.75" customHeight="1">
      <c r="A11" s="281" t="s">
        <v>419</v>
      </c>
      <c r="B11" s="9"/>
      <c r="C11" s="9"/>
      <c r="D11" s="9"/>
      <c r="E11" s="10"/>
      <c r="F11" s="77"/>
      <c r="G11" s="9"/>
      <c r="H11" s="9"/>
      <c r="I11" s="9"/>
      <c r="J11" s="9"/>
      <c r="K11" s="9"/>
      <c r="L11" s="9"/>
      <c r="M11" s="9"/>
      <c r="N11" s="9"/>
      <c r="O11" s="9"/>
      <c r="P11" s="9"/>
      <c r="Q11" s="9"/>
      <c r="R11" s="9"/>
      <c r="S11" s="9"/>
      <c r="T11" s="9"/>
      <c r="U11" s="9"/>
      <c r="V11" s="9"/>
      <c r="W11" s="9"/>
      <c r="X11" s="10"/>
    </row>
    <row r="12" ht="15.75" customHeight="1">
      <c r="A12" s="282" t="s">
        <v>420</v>
      </c>
      <c r="B12" s="278"/>
      <c r="C12" s="278"/>
      <c r="D12" s="278"/>
      <c r="E12" s="279"/>
      <c r="F12" s="282"/>
      <c r="G12" s="278"/>
      <c r="H12" s="278"/>
      <c r="I12" s="278"/>
      <c r="J12" s="278"/>
      <c r="K12" s="278"/>
      <c r="L12" s="278"/>
      <c r="M12" s="278"/>
      <c r="N12" s="278"/>
      <c r="O12" s="278"/>
      <c r="P12" s="278"/>
      <c r="Q12" s="278"/>
      <c r="R12" s="278"/>
      <c r="S12" s="278"/>
      <c r="T12" s="278"/>
      <c r="U12" s="278"/>
      <c r="V12" s="278"/>
      <c r="W12" s="278"/>
      <c r="X12" s="279"/>
    </row>
    <row r="13" ht="15.75" customHeight="1">
      <c r="A13" s="282" t="s">
        <v>421</v>
      </c>
      <c r="B13" s="278"/>
      <c r="C13" s="278"/>
      <c r="D13" s="278"/>
      <c r="E13" s="279"/>
      <c r="F13" s="282"/>
      <c r="G13" s="278"/>
      <c r="H13" s="278"/>
      <c r="I13" s="278"/>
      <c r="J13" s="278"/>
      <c r="K13" s="278"/>
      <c r="L13" s="278"/>
      <c r="M13" s="278"/>
      <c r="N13" s="278"/>
      <c r="O13" s="278"/>
      <c r="P13" s="278"/>
      <c r="Q13" s="278"/>
      <c r="R13" s="278"/>
      <c r="S13" s="278"/>
      <c r="T13" s="278"/>
      <c r="U13" s="278"/>
      <c r="V13" s="278"/>
      <c r="W13" s="278"/>
      <c r="X13" s="279"/>
    </row>
    <row r="14" ht="15.75" customHeight="1">
      <c r="A14" s="283"/>
      <c r="B14" s="81"/>
      <c r="C14" s="81"/>
      <c r="D14" s="81"/>
      <c r="E14" s="81"/>
      <c r="F14" s="81"/>
      <c r="G14" s="81"/>
      <c r="H14" s="81"/>
      <c r="I14" s="81"/>
      <c r="J14" s="81"/>
      <c r="K14" s="81"/>
      <c r="L14" s="81"/>
      <c r="M14" s="81"/>
      <c r="N14" s="81"/>
      <c r="O14" s="81"/>
      <c r="P14" s="81"/>
      <c r="Q14" s="81"/>
      <c r="R14" s="81"/>
      <c r="S14" s="81"/>
      <c r="T14" s="81"/>
      <c r="U14" s="81"/>
      <c r="V14" s="81"/>
      <c r="W14" s="81"/>
      <c r="X14" s="82"/>
    </row>
    <row r="15" ht="15.75" customHeight="1">
      <c r="A15" s="49" t="s">
        <v>402</v>
      </c>
      <c r="B15" s="50"/>
      <c r="C15" s="50"/>
      <c r="D15" s="50"/>
      <c r="E15" s="50"/>
      <c r="F15" s="50"/>
      <c r="G15" s="50"/>
      <c r="H15" s="50"/>
      <c r="I15" s="50"/>
      <c r="J15" s="50"/>
      <c r="K15" s="50"/>
      <c r="L15" s="50"/>
      <c r="M15" s="50"/>
      <c r="N15" s="50"/>
      <c r="O15" s="50"/>
      <c r="P15" s="50"/>
      <c r="Q15" s="50"/>
      <c r="R15" s="50"/>
      <c r="S15" s="50"/>
      <c r="T15" s="50"/>
      <c r="U15" s="50"/>
      <c r="V15" s="50"/>
      <c r="W15" s="50"/>
      <c r="X15" s="51"/>
    </row>
    <row r="16" ht="15.75" customHeight="1">
      <c r="A16" s="271" t="s">
        <v>112</v>
      </c>
      <c r="B16" s="272" t="s">
        <v>422</v>
      </c>
      <c r="C16" s="50"/>
      <c r="D16" s="50"/>
      <c r="E16" s="50"/>
      <c r="F16" s="50"/>
      <c r="G16" s="50"/>
      <c r="H16" s="284" t="s">
        <v>423</v>
      </c>
      <c r="I16" s="50"/>
      <c r="J16" s="50"/>
      <c r="K16" s="50"/>
      <c r="L16" s="50"/>
      <c r="M16" s="50"/>
      <c r="N16" s="50"/>
      <c r="O16" s="51"/>
      <c r="P16" s="284" t="s">
        <v>424</v>
      </c>
      <c r="Q16" s="50"/>
      <c r="R16" s="50"/>
      <c r="S16" s="50"/>
      <c r="T16" s="50"/>
      <c r="U16" s="50"/>
      <c r="V16" s="50"/>
      <c r="W16" s="50"/>
      <c r="X16" s="51"/>
    </row>
    <row r="17" ht="15.75" customHeight="1">
      <c r="A17" s="285">
        <v>1.0</v>
      </c>
      <c r="B17" s="286" t="s">
        <v>425</v>
      </c>
      <c r="C17" s="260"/>
      <c r="D17" s="260"/>
      <c r="E17" s="260"/>
      <c r="F17" s="260"/>
      <c r="G17" s="260"/>
      <c r="H17" s="239"/>
      <c r="I17" s="218"/>
      <c r="J17" s="218"/>
      <c r="K17" s="218"/>
      <c r="L17" s="218"/>
      <c r="M17" s="218"/>
      <c r="N17" s="218"/>
      <c r="O17" s="218"/>
      <c r="P17" s="287"/>
      <c r="Q17" s="260"/>
      <c r="R17" s="260"/>
      <c r="S17" s="260"/>
      <c r="T17" s="260"/>
      <c r="U17" s="260"/>
      <c r="V17" s="260"/>
      <c r="W17" s="260"/>
      <c r="X17" s="263"/>
    </row>
    <row r="18" ht="15.75" customHeight="1">
      <c r="A18" s="242">
        <v>2.0</v>
      </c>
      <c r="B18" s="243" t="s">
        <v>426</v>
      </c>
      <c r="C18" s="245"/>
      <c r="D18" s="245"/>
      <c r="E18" s="245"/>
      <c r="F18" s="245"/>
      <c r="G18" s="245"/>
      <c r="H18" s="244"/>
      <c r="I18" s="245"/>
      <c r="J18" s="245"/>
      <c r="K18" s="245"/>
      <c r="L18" s="245"/>
      <c r="M18" s="245"/>
      <c r="N18" s="245"/>
      <c r="O18" s="245"/>
      <c r="P18" s="244"/>
      <c r="Q18" s="245"/>
      <c r="R18" s="245"/>
      <c r="S18" s="245"/>
      <c r="T18" s="245"/>
      <c r="U18" s="245"/>
      <c r="V18" s="245"/>
      <c r="W18" s="245"/>
      <c r="X18" s="247"/>
    </row>
    <row r="19" ht="15.75" customHeight="1">
      <c r="A19" s="242">
        <v>3.0</v>
      </c>
      <c r="B19" s="243" t="s">
        <v>427</v>
      </c>
      <c r="C19" s="245"/>
      <c r="D19" s="245"/>
      <c r="E19" s="245"/>
      <c r="F19" s="245"/>
      <c r="G19" s="245"/>
      <c r="H19" s="244"/>
      <c r="I19" s="245"/>
      <c r="J19" s="245"/>
      <c r="K19" s="245"/>
      <c r="L19" s="245"/>
      <c r="M19" s="245"/>
      <c r="N19" s="245"/>
      <c r="O19" s="245"/>
      <c r="P19" s="244"/>
      <c r="Q19" s="245"/>
      <c r="R19" s="245"/>
      <c r="S19" s="245"/>
      <c r="T19" s="245"/>
      <c r="U19" s="245"/>
      <c r="V19" s="245"/>
      <c r="W19" s="245"/>
      <c r="X19" s="247"/>
    </row>
    <row r="20" ht="15.75" customHeight="1">
      <c r="A20" s="242">
        <v>4.0</v>
      </c>
      <c r="B20" s="243" t="s">
        <v>428</v>
      </c>
      <c r="C20" s="245"/>
      <c r="D20" s="245"/>
      <c r="E20" s="245"/>
      <c r="F20" s="245"/>
      <c r="G20" s="245"/>
      <c r="H20" s="244"/>
      <c r="I20" s="245"/>
      <c r="J20" s="245"/>
      <c r="K20" s="245"/>
      <c r="L20" s="245"/>
      <c r="M20" s="245"/>
      <c r="N20" s="245"/>
      <c r="O20" s="245"/>
      <c r="P20" s="244"/>
      <c r="Q20" s="245"/>
      <c r="R20" s="245"/>
      <c r="S20" s="245"/>
      <c r="T20" s="245"/>
      <c r="U20" s="245"/>
      <c r="V20" s="245"/>
      <c r="W20" s="245"/>
      <c r="X20" s="247"/>
    </row>
    <row r="21" ht="15.75" customHeight="1">
      <c r="A21" s="248">
        <v>5.0</v>
      </c>
      <c r="B21" s="243" t="s">
        <v>429</v>
      </c>
      <c r="C21" s="245"/>
      <c r="D21" s="245"/>
      <c r="E21" s="245"/>
      <c r="F21" s="245"/>
      <c r="G21" s="245"/>
      <c r="H21" s="244"/>
      <c r="I21" s="245"/>
      <c r="J21" s="245"/>
      <c r="K21" s="245"/>
      <c r="L21" s="245"/>
      <c r="M21" s="245"/>
      <c r="N21" s="245"/>
      <c r="O21" s="245"/>
      <c r="P21" s="244"/>
      <c r="Q21" s="245"/>
      <c r="R21" s="245"/>
      <c r="S21" s="245"/>
      <c r="T21" s="245"/>
      <c r="U21" s="245"/>
      <c r="V21" s="245"/>
      <c r="W21" s="245"/>
      <c r="X21" s="247"/>
    </row>
    <row r="22" ht="15.75" customHeight="1">
      <c r="A22" s="242">
        <v>6.0</v>
      </c>
      <c r="B22" s="243" t="s">
        <v>430</v>
      </c>
      <c r="C22" s="245"/>
      <c r="D22" s="245"/>
      <c r="E22" s="245"/>
      <c r="F22" s="245"/>
      <c r="G22" s="245"/>
      <c r="H22" s="244"/>
      <c r="I22" s="245"/>
      <c r="J22" s="245"/>
      <c r="K22" s="245"/>
      <c r="L22" s="245"/>
      <c r="M22" s="245"/>
      <c r="N22" s="245"/>
      <c r="O22" s="245"/>
      <c r="P22" s="244"/>
      <c r="Q22" s="245"/>
      <c r="R22" s="245"/>
      <c r="S22" s="245"/>
      <c r="T22" s="245"/>
      <c r="U22" s="245"/>
      <c r="V22" s="245"/>
      <c r="W22" s="245"/>
      <c r="X22" s="247"/>
    </row>
    <row r="23" ht="15.75" customHeight="1">
      <c r="A23" s="242">
        <v>7.0</v>
      </c>
      <c r="B23" s="243" t="s">
        <v>431</v>
      </c>
      <c r="C23" s="245"/>
      <c r="D23" s="245"/>
      <c r="E23" s="245"/>
      <c r="F23" s="245"/>
      <c r="G23" s="245"/>
      <c r="H23" s="244"/>
      <c r="I23" s="245"/>
      <c r="J23" s="245"/>
      <c r="K23" s="245"/>
      <c r="L23" s="245"/>
      <c r="M23" s="245"/>
      <c r="N23" s="245"/>
      <c r="O23" s="245"/>
      <c r="P23" s="244"/>
      <c r="Q23" s="245"/>
      <c r="R23" s="245"/>
      <c r="S23" s="245"/>
      <c r="T23" s="245"/>
      <c r="U23" s="245"/>
      <c r="V23" s="245"/>
      <c r="W23" s="245"/>
      <c r="X23" s="247"/>
    </row>
    <row r="24" ht="15.75" customHeight="1">
      <c r="A24" s="242">
        <v>8.0</v>
      </c>
      <c r="B24" s="243" t="s">
        <v>432</v>
      </c>
      <c r="C24" s="245"/>
      <c r="D24" s="245"/>
      <c r="E24" s="245"/>
      <c r="F24" s="245"/>
      <c r="G24" s="245"/>
      <c r="H24" s="244"/>
      <c r="I24" s="245"/>
      <c r="J24" s="245"/>
      <c r="K24" s="245"/>
      <c r="L24" s="245"/>
      <c r="M24" s="245"/>
      <c r="N24" s="245"/>
      <c r="O24" s="245"/>
      <c r="P24" s="244"/>
      <c r="Q24" s="245"/>
      <c r="R24" s="245"/>
      <c r="S24" s="245"/>
      <c r="T24" s="245"/>
      <c r="U24" s="245"/>
      <c r="V24" s="245"/>
      <c r="W24" s="245"/>
      <c r="X24" s="247"/>
    </row>
    <row r="25" ht="15.75" customHeight="1">
      <c r="A25" s="248">
        <v>9.0</v>
      </c>
      <c r="B25" s="243" t="s">
        <v>433</v>
      </c>
      <c r="C25" s="245"/>
      <c r="D25" s="245"/>
      <c r="E25" s="245"/>
      <c r="F25" s="245"/>
      <c r="G25" s="245"/>
      <c r="H25" s="244"/>
      <c r="I25" s="245"/>
      <c r="J25" s="245"/>
      <c r="K25" s="245"/>
      <c r="L25" s="245"/>
      <c r="M25" s="245"/>
      <c r="N25" s="245"/>
      <c r="O25" s="245"/>
      <c r="P25" s="244"/>
      <c r="Q25" s="245"/>
      <c r="R25" s="245"/>
      <c r="S25" s="245"/>
      <c r="T25" s="245"/>
      <c r="U25" s="245"/>
      <c r="V25" s="245"/>
      <c r="W25" s="245"/>
      <c r="X25" s="247"/>
    </row>
    <row r="26" ht="15.75" customHeight="1">
      <c r="A26" s="242">
        <v>10.0</v>
      </c>
      <c r="B26" s="243" t="s">
        <v>434</v>
      </c>
      <c r="C26" s="245"/>
      <c r="D26" s="245"/>
      <c r="E26" s="245"/>
      <c r="F26" s="245"/>
      <c r="G26" s="245"/>
      <c r="H26" s="244"/>
      <c r="I26" s="245"/>
      <c r="J26" s="245"/>
      <c r="K26" s="245"/>
      <c r="L26" s="245"/>
      <c r="M26" s="245"/>
      <c r="N26" s="245"/>
      <c r="O26" s="245"/>
      <c r="P26" s="244"/>
      <c r="Q26" s="245"/>
      <c r="R26" s="245"/>
      <c r="S26" s="245"/>
      <c r="T26" s="245"/>
      <c r="U26" s="245"/>
      <c r="V26" s="245"/>
      <c r="W26" s="245"/>
      <c r="X26" s="247"/>
    </row>
    <row r="27" ht="15.75" customHeight="1">
      <c r="A27" s="242">
        <v>11.0</v>
      </c>
      <c r="B27" s="243" t="s">
        <v>435</v>
      </c>
      <c r="C27" s="245"/>
      <c r="D27" s="245"/>
      <c r="E27" s="245"/>
      <c r="F27" s="245"/>
      <c r="G27" s="245"/>
      <c r="H27" s="244"/>
      <c r="I27" s="245"/>
      <c r="J27" s="245"/>
      <c r="K27" s="245"/>
      <c r="L27" s="245"/>
      <c r="M27" s="245"/>
      <c r="N27" s="245"/>
      <c r="O27" s="245"/>
      <c r="P27" s="244"/>
      <c r="Q27" s="245"/>
      <c r="R27" s="245"/>
      <c r="S27" s="245"/>
      <c r="T27" s="245"/>
      <c r="U27" s="245"/>
      <c r="V27" s="245"/>
      <c r="W27" s="245"/>
      <c r="X27" s="247"/>
    </row>
    <row r="28" ht="15.75" customHeight="1">
      <c r="A28" s="242">
        <v>12.0</v>
      </c>
      <c r="B28" s="243" t="s">
        <v>436</v>
      </c>
      <c r="C28" s="245"/>
      <c r="D28" s="245"/>
      <c r="E28" s="245"/>
      <c r="F28" s="245"/>
      <c r="G28" s="245"/>
      <c r="H28" s="244"/>
      <c r="I28" s="245"/>
      <c r="J28" s="245"/>
      <c r="K28" s="245"/>
      <c r="L28" s="245"/>
      <c r="M28" s="245"/>
      <c r="N28" s="245"/>
      <c r="O28" s="245"/>
      <c r="P28" s="244"/>
      <c r="Q28" s="245"/>
      <c r="R28" s="245"/>
      <c r="S28" s="245"/>
      <c r="T28" s="245"/>
      <c r="U28" s="245"/>
      <c r="V28" s="245"/>
      <c r="W28" s="245"/>
      <c r="X28" s="247"/>
    </row>
    <row r="29" ht="15.75" customHeight="1">
      <c r="A29" s="288">
        <v>13.0</v>
      </c>
      <c r="B29" s="289" t="s">
        <v>437</v>
      </c>
      <c r="C29" s="256"/>
      <c r="D29" s="256"/>
      <c r="E29" s="256"/>
      <c r="F29" s="256"/>
      <c r="G29" s="256"/>
      <c r="H29" s="255"/>
      <c r="I29" s="256"/>
      <c r="J29" s="256"/>
      <c r="K29" s="256"/>
      <c r="L29" s="256"/>
      <c r="M29" s="256"/>
      <c r="N29" s="256"/>
      <c r="O29" s="256"/>
      <c r="P29" s="255"/>
      <c r="Q29" s="256"/>
      <c r="R29" s="256"/>
      <c r="S29" s="256"/>
      <c r="T29" s="256"/>
      <c r="U29" s="256"/>
      <c r="V29" s="256"/>
      <c r="W29" s="256"/>
      <c r="X29" s="258"/>
    </row>
    <row r="30" ht="15.75" customHeight="1">
      <c r="A30" s="158" t="s">
        <v>438</v>
      </c>
      <c r="B30" s="81"/>
      <c r="C30" s="81"/>
      <c r="D30" s="81"/>
      <c r="E30" s="81"/>
      <c r="F30" s="81"/>
      <c r="G30" s="81"/>
      <c r="H30" s="81"/>
      <c r="I30" s="81"/>
      <c r="J30" s="81"/>
      <c r="K30" s="81"/>
      <c r="L30" s="81"/>
      <c r="M30" s="81"/>
      <c r="N30" s="81"/>
      <c r="O30" s="81"/>
      <c r="P30" s="81"/>
      <c r="Q30" s="81"/>
      <c r="R30" s="81"/>
      <c r="S30" s="81"/>
      <c r="T30" s="81"/>
      <c r="U30" s="81"/>
      <c r="V30" s="81"/>
      <c r="W30" s="81"/>
      <c r="X30" s="82"/>
    </row>
    <row r="31" ht="15.75" customHeight="1">
      <c r="A31" s="76" t="s">
        <v>112</v>
      </c>
      <c r="B31" s="76" t="s">
        <v>439</v>
      </c>
      <c r="C31" s="50"/>
      <c r="D31" s="50"/>
      <c r="E31" s="50"/>
      <c r="F31" s="50"/>
      <c r="G31" s="50"/>
      <c r="H31" s="76" t="s">
        <v>440</v>
      </c>
      <c r="I31" s="50"/>
      <c r="J31" s="50"/>
      <c r="K31" s="50"/>
      <c r="L31" s="50"/>
      <c r="M31" s="50"/>
      <c r="N31" s="50"/>
      <c r="O31" s="50"/>
      <c r="P31" s="50"/>
      <c r="Q31" s="76" t="s">
        <v>441</v>
      </c>
      <c r="R31" s="50"/>
      <c r="S31" s="51"/>
      <c r="T31" s="76" t="s">
        <v>440</v>
      </c>
      <c r="U31" s="50"/>
      <c r="V31" s="50"/>
      <c r="W31" s="50"/>
      <c r="X31" s="51"/>
    </row>
    <row r="32" ht="15.75" customHeight="1">
      <c r="A32" s="259">
        <v>3.1</v>
      </c>
      <c r="B32" s="262" t="s">
        <v>442</v>
      </c>
      <c r="C32" s="260"/>
      <c r="D32" s="260"/>
      <c r="E32" s="260"/>
      <c r="F32" s="260"/>
      <c r="G32" s="290"/>
      <c r="H32" s="287"/>
      <c r="I32" s="260"/>
      <c r="J32" s="260"/>
      <c r="K32" s="260"/>
      <c r="L32" s="260"/>
      <c r="M32" s="260"/>
      <c r="N32" s="260"/>
      <c r="O32" s="260"/>
      <c r="P32" s="290"/>
      <c r="Q32" s="287"/>
      <c r="R32" s="260"/>
      <c r="S32" s="290"/>
      <c r="T32" s="287"/>
      <c r="U32" s="260"/>
      <c r="V32" s="260"/>
      <c r="W32" s="260"/>
      <c r="X32" s="263"/>
    </row>
    <row r="33" ht="15.75" customHeight="1">
      <c r="A33" s="264">
        <v>3.2</v>
      </c>
      <c r="B33" s="266" t="s">
        <v>443</v>
      </c>
      <c r="C33" s="245"/>
      <c r="D33" s="245"/>
      <c r="E33" s="245"/>
      <c r="F33" s="245"/>
      <c r="G33" s="246"/>
      <c r="H33" s="244"/>
      <c r="I33" s="245"/>
      <c r="J33" s="245"/>
      <c r="K33" s="245"/>
      <c r="L33" s="245"/>
      <c r="M33" s="245"/>
      <c r="N33" s="245"/>
      <c r="O33" s="245"/>
      <c r="P33" s="246"/>
      <c r="Q33" s="244"/>
      <c r="R33" s="245"/>
      <c r="S33" s="246"/>
      <c r="T33" s="244"/>
      <c r="U33" s="245"/>
      <c r="V33" s="245"/>
      <c r="W33" s="245"/>
      <c r="X33" s="247"/>
    </row>
    <row r="34" ht="15.75" customHeight="1">
      <c r="A34" s="264">
        <v>3.3</v>
      </c>
      <c r="B34" s="266" t="s">
        <v>444</v>
      </c>
      <c r="C34" s="245"/>
      <c r="D34" s="245"/>
      <c r="E34" s="245"/>
      <c r="F34" s="245"/>
      <c r="G34" s="246"/>
      <c r="H34" s="244"/>
      <c r="I34" s="245"/>
      <c r="J34" s="245"/>
      <c r="K34" s="245"/>
      <c r="L34" s="245"/>
      <c r="M34" s="245"/>
      <c r="N34" s="245"/>
      <c r="O34" s="245"/>
      <c r="P34" s="246"/>
      <c r="Q34" s="244"/>
      <c r="R34" s="245"/>
      <c r="S34" s="246"/>
      <c r="T34" s="244"/>
      <c r="U34" s="245"/>
      <c r="V34" s="245"/>
      <c r="W34" s="245"/>
      <c r="X34" s="247"/>
    </row>
    <row r="35" ht="15.75" customHeight="1">
      <c r="A35" s="264">
        <v>3.4</v>
      </c>
      <c r="B35" s="266" t="s">
        <v>445</v>
      </c>
      <c r="C35" s="245"/>
      <c r="D35" s="245"/>
      <c r="E35" s="245"/>
      <c r="F35" s="245"/>
      <c r="G35" s="246"/>
      <c r="H35" s="244"/>
      <c r="I35" s="245"/>
      <c r="J35" s="245"/>
      <c r="K35" s="245"/>
      <c r="L35" s="245"/>
      <c r="M35" s="245"/>
      <c r="N35" s="245"/>
      <c r="O35" s="245"/>
      <c r="P35" s="246"/>
      <c r="Q35" s="244"/>
      <c r="R35" s="245"/>
      <c r="S35" s="246"/>
      <c r="T35" s="244"/>
      <c r="U35" s="245"/>
      <c r="V35" s="245"/>
      <c r="W35" s="245"/>
      <c r="X35" s="247"/>
    </row>
    <row r="36" ht="15.75" customHeight="1">
      <c r="A36" s="264">
        <v>3.5</v>
      </c>
      <c r="B36" s="266" t="s">
        <v>446</v>
      </c>
      <c r="C36" s="245"/>
      <c r="D36" s="245"/>
      <c r="E36" s="245"/>
      <c r="F36" s="245"/>
      <c r="G36" s="246"/>
      <c r="H36" s="244"/>
      <c r="I36" s="245"/>
      <c r="J36" s="245"/>
      <c r="K36" s="245"/>
      <c r="L36" s="245"/>
      <c r="M36" s="245"/>
      <c r="N36" s="245"/>
      <c r="O36" s="245"/>
      <c r="P36" s="246"/>
      <c r="Q36" s="244"/>
      <c r="R36" s="245"/>
      <c r="S36" s="246"/>
      <c r="T36" s="244"/>
      <c r="U36" s="245"/>
      <c r="V36" s="245"/>
      <c r="W36" s="245"/>
      <c r="X36" s="247"/>
    </row>
    <row r="37" ht="15.75" customHeight="1">
      <c r="A37" s="264">
        <v>3.6</v>
      </c>
      <c r="B37" s="266"/>
      <c r="C37" s="245"/>
      <c r="D37" s="245"/>
      <c r="E37" s="245"/>
      <c r="F37" s="245"/>
      <c r="G37" s="246"/>
      <c r="H37" s="244"/>
      <c r="I37" s="245"/>
      <c r="J37" s="245"/>
      <c r="K37" s="245"/>
      <c r="L37" s="245"/>
      <c r="M37" s="245"/>
      <c r="N37" s="245"/>
      <c r="O37" s="245"/>
      <c r="P37" s="246"/>
      <c r="Q37" s="244"/>
      <c r="R37" s="245"/>
      <c r="S37" s="246"/>
      <c r="T37" s="244"/>
      <c r="U37" s="245"/>
      <c r="V37" s="245"/>
      <c r="W37" s="245"/>
      <c r="X37" s="247"/>
    </row>
    <row r="38" ht="15.75" customHeight="1">
      <c r="A38" s="264">
        <v>3.7</v>
      </c>
      <c r="B38" s="266"/>
      <c r="C38" s="245"/>
      <c r="D38" s="245"/>
      <c r="E38" s="245"/>
      <c r="F38" s="245"/>
      <c r="G38" s="246"/>
      <c r="H38" s="244"/>
      <c r="I38" s="245"/>
      <c r="J38" s="245"/>
      <c r="K38" s="245"/>
      <c r="L38" s="245"/>
      <c r="M38" s="245"/>
      <c r="N38" s="245"/>
      <c r="O38" s="245"/>
      <c r="P38" s="246"/>
      <c r="Q38" s="244"/>
      <c r="R38" s="245"/>
      <c r="S38" s="246"/>
      <c r="T38" s="244"/>
      <c r="U38" s="245"/>
      <c r="V38" s="245"/>
      <c r="W38" s="245"/>
      <c r="X38" s="247"/>
    </row>
    <row r="39" ht="15.75" customHeight="1">
      <c r="A39" s="264">
        <v>3.8</v>
      </c>
      <c r="B39" s="266"/>
      <c r="C39" s="245"/>
      <c r="D39" s="245"/>
      <c r="E39" s="245"/>
      <c r="F39" s="245"/>
      <c r="G39" s="246"/>
      <c r="H39" s="244"/>
      <c r="I39" s="245"/>
      <c r="J39" s="245"/>
      <c r="K39" s="245"/>
      <c r="L39" s="245"/>
      <c r="M39" s="245"/>
      <c r="N39" s="245"/>
      <c r="O39" s="245"/>
      <c r="P39" s="246"/>
      <c r="Q39" s="244"/>
      <c r="R39" s="245"/>
      <c r="S39" s="246"/>
      <c r="T39" s="244"/>
      <c r="U39" s="245"/>
      <c r="V39" s="245"/>
      <c r="W39" s="245"/>
      <c r="X39" s="247"/>
    </row>
    <row r="40" ht="15.75" customHeight="1">
      <c r="A40" s="264">
        <v>3.9</v>
      </c>
      <c r="B40" s="266"/>
      <c r="C40" s="245"/>
      <c r="D40" s="245"/>
      <c r="E40" s="245"/>
      <c r="F40" s="245"/>
      <c r="G40" s="246"/>
      <c r="H40" s="244"/>
      <c r="I40" s="245"/>
      <c r="J40" s="245"/>
      <c r="K40" s="245"/>
      <c r="L40" s="245"/>
      <c r="M40" s="245"/>
      <c r="N40" s="245"/>
      <c r="O40" s="245"/>
      <c r="P40" s="246"/>
      <c r="Q40" s="244"/>
      <c r="R40" s="245"/>
      <c r="S40" s="246"/>
      <c r="T40" s="250"/>
      <c r="U40" s="251"/>
      <c r="V40" s="251"/>
      <c r="W40" s="251"/>
      <c r="X40" s="276"/>
    </row>
    <row r="41" ht="15.75" customHeight="1">
      <c r="A41" s="277" t="s">
        <v>447</v>
      </c>
      <c r="B41" s="278"/>
      <c r="C41" s="278"/>
      <c r="D41" s="278"/>
      <c r="E41" s="278"/>
      <c r="F41" s="278"/>
      <c r="G41" s="278"/>
      <c r="H41" s="278"/>
      <c r="I41" s="278"/>
      <c r="J41" s="278"/>
      <c r="K41" s="278"/>
      <c r="L41" s="278"/>
      <c r="M41" s="278"/>
      <c r="N41" s="278"/>
      <c r="O41" s="278"/>
      <c r="P41" s="278"/>
      <c r="Q41" s="278"/>
      <c r="R41" s="278"/>
      <c r="S41" s="278"/>
      <c r="T41" s="278"/>
      <c r="U41" s="278"/>
      <c r="V41" s="278"/>
      <c r="W41" s="278"/>
      <c r="X41" s="279"/>
    </row>
    <row r="42" ht="15.75" customHeight="1">
      <c r="A42" s="291" t="s">
        <v>448</v>
      </c>
      <c r="C42" s="35"/>
      <c r="D42" s="292"/>
      <c r="P42" s="35"/>
      <c r="Q42" s="293" t="s">
        <v>449</v>
      </c>
      <c r="S42" s="35"/>
      <c r="T42" s="292"/>
      <c r="X42" s="80"/>
    </row>
    <row r="43" ht="15.75" customHeight="1">
      <c r="A43" s="144"/>
      <c r="B43" s="18"/>
      <c r="C43" s="33"/>
      <c r="D43" s="17"/>
      <c r="E43" s="18"/>
      <c r="F43" s="18"/>
      <c r="G43" s="18"/>
      <c r="H43" s="18"/>
      <c r="I43" s="18"/>
      <c r="J43" s="18"/>
      <c r="K43" s="18"/>
      <c r="L43" s="18"/>
      <c r="M43" s="18"/>
      <c r="N43" s="18"/>
      <c r="O43" s="18"/>
      <c r="P43" s="33"/>
      <c r="Q43" s="17"/>
      <c r="R43" s="18"/>
      <c r="S43" s="33"/>
      <c r="T43" s="17"/>
      <c r="U43" s="18"/>
      <c r="V43" s="18"/>
      <c r="W43" s="18"/>
      <c r="X43" s="19"/>
    </row>
    <row r="44" ht="15.75" customHeight="1">
      <c r="A44" s="294" t="s">
        <v>450</v>
      </c>
      <c r="B44" s="86"/>
      <c r="C44" s="27"/>
      <c r="D44" s="295"/>
      <c r="E44" s="86"/>
      <c r="F44" s="86"/>
      <c r="G44" s="86"/>
      <c r="H44" s="86"/>
      <c r="I44" s="86"/>
      <c r="J44" s="86"/>
      <c r="K44" s="86"/>
      <c r="L44" s="86"/>
      <c r="M44" s="86"/>
      <c r="N44" s="86"/>
      <c r="O44" s="86"/>
      <c r="P44" s="86"/>
      <c r="Q44" s="86"/>
      <c r="R44" s="86"/>
      <c r="S44" s="86"/>
      <c r="T44" s="86"/>
      <c r="U44" s="86"/>
      <c r="V44" s="86"/>
      <c r="W44" s="86"/>
      <c r="X44" s="87"/>
    </row>
    <row r="45" ht="15.75" customHeight="1">
      <c r="A45" s="144"/>
      <c r="B45" s="18"/>
      <c r="C45" s="33"/>
      <c r="D45" s="17"/>
      <c r="E45" s="18"/>
      <c r="F45" s="18"/>
      <c r="G45" s="18"/>
      <c r="H45" s="18"/>
      <c r="I45" s="18"/>
      <c r="J45" s="18"/>
      <c r="K45" s="18"/>
      <c r="L45" s="18"/>
      <c r="M45" s="18"/>
      <c r="N45" s="18"/>
      <c r="O45" s="18"/>
      <c r="P45" s="18"/>
      <c r="Q45" s="18"/>
      <c r="R45" s="18"/>
      <c r="S45" s="18"/>
      <c r="T45" s="18"/>
      <c r="U45" s="18"/>
      <c r="V45" s="18"/>
      <c r="W45" s="18"/>
      <c r="X45" s="19"/>
    </row>
    <row r="46" ht="15.75" customHeight="1">
      <c r="A46" s="294" t="s">
        <v>451</v>
      </c>
      <c r="B46" s="86"/>
      <c r="C46" s="27"/>
      <c r="D46" s="295"/>
      <c r="E46" s="86"/>
      <c r="F46" s="86"/>
      <c r="G46" s="86"/>
      <c r="H46" s="86"/>
      <c r="I46" s="86"/>
      <c r="J46" s="86"/>
      <c r="K46" s="86"/>
      <c r="L46" s="86"/>
      <c r="M46" s="86"/>
      <c r="N46" s="86"/>
      <c r="O46" s="86"/>
      <c r="P46" s="86"/>
      <c r="Q46" s="86"/>
      <c r="R46" s="86"/>
      <c r="S46" s="86"/>
      <c r="T46" s="86"/>
      <c r="U46" s="86"/>
      <c r="V46" s="86"/>
      <c r="W46" s="86"/>
      <c r="X46" s="87"/>
    </row>
    <row r="47" ht="15.75" customHeight="1">
      <c r="A47" s="39"/>
      <c r="B47" s="81"/>
      <c r="C47" s="40"/>
      <c r="D47" s="41"/>
      <c r="E47" s="81"/>
      <c r="F47" s="81"/>
      <c r="G47" s="81"/>
      <c r="H47" s="81"/>
      <c r="I47" s="81"/>
      <c r="J47" s="81"/>
      <c r="K47" s="81"/>
      <c r="L47" s="81"/>
      <c r="M47" s="81"/>
      <c r="N47" s="81"/>
      <c r="O47" s="81"/>
      <c r="P47" s="81"/>
      <c r="Q47" s="81"/>
      <c r="R47" s="81"/>
      <c r="S47" s="81"/>
      <c r="T47" s="81"/>
      <c r="U47" s="81"/>
      <c r="V47" s="81"/>
      <c r="W47" s="81"/>
      <c r="X47" s="8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2">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E5:F5"/>
    <mergeCell ref="G5:H5"/>
    <mergeCell ref="A7:X7"/>
    <mergeCell ref="A8:X8"/>
    <mergeCell ref="A9:X9"/>
    <mergeCell ref="A10:E10"/>
    <mergeCell ref="F10:X10"/>
    <mergeCell ref="B22:G22"/>
    <mergeCell ref="B23:G23"/>
    <mergeCell ref="B24:G24"/>
    <mergeCell ref="B25:G25"/>
    <mergeCell ref="B26:G26"/>
    <mergeCell ref="B27:G27"/>
    <mergeCell ref="B28:G28"/>
    <mergeCell ref="B37:G37"/>
    <mergeCell ref="B38:G38"/>
    <mergeCell ref="B39:G39"/>
    <mergeCell ref="B40:G40"/>
    <mergeCell ref="A42:C43"/>
    <mergeCell ref="A44:C45"/>
    <mergeCell ref="A46:C47"/>
    <mergeCell ref="B29:G29"/>
    <mergeCell ref="B31:G31"/>
    <mergeCell ref="B32:G32"/>
    <mergeCell ref="B33:G33"/>
    <mergeCell ref="B34:G34"/>
    <mergeCell ref="B35:G35"/>
    <mergeCell ref="B36:G36"/>
    <mergeCell ref="P27:X27"/>
    <mergeCell ref="P28:X28"/>
    <mergeCell ref="P29:X29"/>
    <mergeCell ref="A30:X30"/>
    <mergeCell ref="T31:X31"/>
    <mergeCell ref="T32:X32"/>
    <mergeCell ref="H32:P32"/>
    <mergeCell ref="H33:P33"/>
    <mergeCell ref="Q33:S33"/>
    <mergeCell ref="T33:X33"/>
    <mergeCell ref="H34:P34"/>
    <mergeCell ref="Q34:S34"/>
    <mergeCell ref="T34:X34"/>
    <mergeCell ref="Q37:S37"/>
    <mergeCell ref="T37:X37"/>
    <mergeCell ref="H35:P35"/>
    <mergeCell ref="Q35:S35"/>
    <mergeCell ref="T35:X35"/>
    <mergeCell ref="H36:P36"/>
    <mergeCell ref="Q36:S36"/>
    <mergeCell ref="T36:X36"/>
    <mergeCell ref="H37:P37"/>
    <mergeCell ref="A11:E11"/>
    <mergeCell ref="F11:X11"/>
    <mergeCell ref="A12:E12"/>
    <mergeCell ref="F12:X12"/>
    <mergeCell ref="F13:X13"/>
    <mergeCell ref="A14:X14"/>
    <mergeCell ref="A15:X15"/>
    <mergeCell ref="H16:O16"/>
    <mergeCell ref="P16:X16"/>
    <mergeCell ref="H17:O17"/>
    <mergeCell ref="P17:X17"/>
    <mergeCell ref="H18:O18"/>
    <mergeCell ref="P18:X18"/>
    <mergeCell ref="P19:X19"/>
    <mergeCell ref="A13:E13"/>
    <mergeCell ref="B16:G16"/>
    <mergeCell ref="B17:G17"/>
    <mergeCell ref="B18:G18"/>
    <mergeCell ref="B19:G19"/>
    <mergeCell ref="B20:G20"/>
    <mergeCell ref="B21:G21"/>
    <mergeCell ref="H19:O19"/>
    <mergeCell ref="H20:O20"/>
    <mergeCell ref="H21:O21"/>
    <mergeCell ref="H22:O22"/>
    <mergeCell ref="H23:O23"/>
    <mergeCell ref="H24:O24"/>
    <mergeCell ref="H25:O25"/>
    <mergeCell ref="P20:X20"/>
    <mergeCell ref="P21:X21"/>
    <mergeCell ref="P22:X22"/>
    <mergeCell ref="P23:X23"/>
    <mergeCell ref="P24:X24"/>
    <mergeCell ref="P25:X25"/>
    <mergeCell ref="P26:X26"/>
    <mergeCell ref="H26:O26"/>
    <mergeCell ref="H27:O27"/>
    <mergeCell ref="H28:O28"/>
    <mergeCell ref="H29:O29"/>
    <mergeCell ref="H31:P31"/>
    <mergeCell ref="Q31:S31"/>
    <mergeCell ref="Q32:S32"/>
    <mergeCell ref="Q40:S40"/>
    <mergeCell ref="T40:X40"/>
    <mergeCell ref="A41:X41"/>
    <mergeCell ref="D42:P43"/>
    <mergeCell ref="Q42:S43"/>
    <mergeCell ref="T42:X43"/>
    <mergeCell ref="D44:X45"/>
    <mergeCell ref="D46:X47"/>
    <mergeCell ref="H38:P38"/>
    <mergeCell ref="Q38:S38"/>
    <mergeCell ref="T38:X38"/>
    <mergeCell ref="H39:P39"/>
    <mergeCell ref="Q39:S39"/>
    <mergeCell ref="T39:X39"/>
    <mergeCell ref="H40:P4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206" t="s">
        <v>0</v>
      </c>
      <c r="B1" s="207"/>
      <c r="C1" s="208" t="s">
        <v>180</v>
      </c>
      <c r="D1" s="207"/>
      <c r="E1" s="209" t="s">
        <v>1</v>
      </c>
      <c r="F1" s="207"/>
      <c r="G1" s="208" t="s">
        <v>452</v>
      </c>
      <c r="H1" s="207"/>
      <c r="I1" s="209" t="s">
        <v>2</v>
      </c>
      <c r="J1" s="207"/>
      <c r="K1" s="210" t="s">
        <v>180</v>
      </c>
      <c r="L1" s="207"/>
      <c r="M1" s="211" t="s">
        <v>3</v>
      </c>
      <c r="N1" s="207"/>
      <c r="O1" s="212">
        <v>5.0</v>
      </c>
      <c r="P1" s="207"/>
      <c r="Q1" s="209" t="s">
        <v>4</v>
      </c>
      <c r="R1" s="207"/>
      <c r="S1" s="208" t="s">
        <v>453</v>
      </c>
      <c r="T1" s="207"/>
      <c r="U1" s="213"/>
      <c r="V1" s="214"/>
      <c r="W1" s="214"/>
      <c r="X1" s="215"/>
    </row>
    <row r="2" ht="15.75" customHeight="1">
      <c r="A2" s="216" t="s">
        <v>5</v>
      </c>
      <c r="B2" s="12"/>
      <c r="C2" s="13" t="s">
        <v>180</v>
      </c>
      <c r="D2" s="12"/>
      <c r="E2" s="14" t="s">
        <v>6</v>
      </c>
      <c r="F2" s="12"/>
      <c r="G2" s="13" t="s">
        <v>180</v>
      </c>
      <c r="H2" s="12"/>
      <c r="I2" s="14" t="s">
        <v>7</v>
      </c>
      <c r="J2" s="12"/>
      <c r="K2" s="15" t="s">
        <v>180</v>
      </c>
      <c r="L2" s="12"/>
      <c r="M2" s="16" t="s">
        <v>8</v>
      </c>
      <c r="N2" s="12"/>
      <c r="O2" s="13" t="s">
        <v>454</v>
      </c>
      <c r="P2" s="12"/>
      <c r="Q2" s="14" t="s">
        <v>10</v>
      </c>
      <c r="R2" s="12"/>
      <c r="S2" s="13" t="s">
        <v>96</v>
      </c>
      <c r="T2" s="12"/>
      <c r="U2" s="217"/>
      <c r="V2" s="218"/>
      <c r="W2" s="218"/>
      <c r="X2" s="219"/>
    </row>
    <row r="3" ht="15.75" customHeight="1">
      <c r="A3" s="216" t="s">
        <v>18</v>
      </c>
      <c r="B3" s="12"/>
      <c r="C3" s="13" t="s">
        <v>455</v>
      </c>
      <c r="D3" s="12"/>
      <c r="E3" s="14" t="s">
        <v>20</v>
      </c>
      <c r="F3" s="12"/>
      <c r="G3" s="13" t="s">
        <v>456</v>
      </c>
      <c r="H3" s="12"/>
      <c r="I3" s="14" t="s">
        <v>21</v>
      </c>
      <c r="J3" s="12"/>
      <c r="K3" s="20" t="s">
        <v>180</v>
      </c>
      <c r="L3" s="12"/>
      <c r="M3" s="16" t="s">
        <v>22</v>
      </c>
      <c r="N3" s="12"/>
      <c r="O3" s="13">
        <v>0.0</v>
      </c>
      <c r="P3" s="12"/>
      <c r="Q3" s="14" t="s">
        <v>23</v>
      </c>
      <c r="R3" s="12"/>
      <c r="S3" s="13"/>
      <c r="T3" s="12"/>
      <c r="U3" s="220" t="s">
        <v>17</v>
      </c>
      <c r="V3" s="18"/>
      <c r="W3" s="18"/>
      <c r="X3" s="221"/>
    </row>
    <row r="4" ht="15.75" customHeight="1">
      <c r="A4" s="216" t="s">
        <v>25</v>
      </c>
      <c r="B4" s="12"/>
      <c r="C4" s="13" t="s">
        <v>180</v>
      </c>
      <c r="D4" s="12"/>
      <c r="E4" s="14" t="s">
        <v>27</v>
      </c>
      <c r="F4" s="12"/>
      <c r="G4" s="13" t="s">
        <v>66</v>
      </c>
      <c r="H4" s="12"/>
      <c r="I4" s="14" t="s">
        <v>28</v>
      </c>
      <c r="J4" s="12"/>
      <c r="K4" s="24" t="s">
        <v>180</v>
      </c>
      <c r="L4" s="25"/>
      <c r="M4" s="26" t="s">
        <v>180</v>
      </c>
      <c r="N4" s="27"/>
      <c r="O4" s="28" t="s">
        <v>180</v>
      </c>
      <c r="P4" s="27"/>
      <c r="Q4" s="14" t="s">
        <v>29</v>
      </c>
      <c r="R4" s="12"/>
      <c r="S4" s="20" t="s">
        <v>457</v>
      </c>
      <c r="T4" s="12"/>
      <c r="U4" s="29" t="s">
        <v>24</v>
      </c>
      <c r="V4" s="22"/>
      <c r="W4" s="22"/>
      <c r="X4" s="222"/>
    </row>
    <row r="5" ht="15.75" customHeight="1">
      <c r="A5" s="223" t="s">
        <v>180</v>
      </c>
      <c r="B5" s="27"/>
      <c r="C5" s="31" t="s">
        <v>180</v>
      </c>
      <c r="D5" s="27"/>
      <c r="E5" s="14" t="s">
        <v>180</v>
      </c>
      <c r="F5" s="12"/>
      <c r="G5" s="13" t="s">
        <v>180</v>
      </c>
      <c r="H5" s="12"/>
      <c r="I5" s="14" t="s">
        <v>180</v>
      </c>
      <c r="J5" s="12"/>
      <c r="K5" s="32" t="s">
        <v>180</v>
      </c>
      <c r="L5" s="33"/>
      <c r="M5" s="34"/>
      <c r="N5" s="35"/>
      <c r="O5" s="34"/>
      <c r="P5" s="35"/>
      <c r="Q5" s="36" t="s">
        <v>180</v>
      </c>
      <c r="R5" s="27"/>
      <c r="S5" s="37" t="s">
        <v>180</v>
      </c>
      <c r="T5" s="27"/>
      <c r="U5" s="38" t="s">
        <v>30</v>
      </c>
      <c r="V5" s="22"/>
      <c r="W5" s="22"/>
      <c r="X5" s="222"/>
    </row>
    <row r="6" ht="15.75" customHeight="1">
      <c r="A6" s="224"/>
      <c r="B6" s="225"/>
      <c r="C6" s="226"/>
      <c r="D6" s="225"/>
      <c r="E6" s="227"/>
      <c r="F6" s="228"/>
      <c r="G6" s="229"/>
      <c r="H6" s="228"/>
      <c r="I6" s="227"/>
      <c r="J6" s="228"/>
      <c r="K6" s="230"/>
      <c r="L6" s="228"/>
      <c r="M6" s="226"/>
      <c r="N6" s="225"/>
      <c r="O6" s="226"/>
      <c r="P6" s="225"/>
      <c r="Q6" s="226"/>
      <c r="R6" s="225"/>
      <c r="S6" s="226"/>
      <c r="T6" s="225"/>
      <c r="U6" s="231" t="s">
        <v>33</v>
      </c>
      <c r="V6" s="232"/>
      <c r="W6" s="232"/>
      <c r="X6" s="233"/>
    </row>
    <row r="7" ht="15.75" customHeight="1">
      <c r="A7" s="234"/>
      <c r="B7" s="81"/>
      <c r="C7" s="81"/>
      <c r="D7" s="81"/>
      <c r="E7" s="81"/>
      <c r="F7" s="81"/>
      <c r="G7" s="81"/>
      <c r="H7" s="81"/>
      <c r="I7" s="81"/>
      <c r="J7" s="81"/>
      <c r="K7" s="81"/>
      <c r="L7" s="81"/>
      <c r="M7" s="81"/>
      <c r="N7" s="81"/>
      <c r="O7" s="81"/>
      <c r="P7" s="81"/>
      <c r="Q7" s="81"/>
      <c r="R7" s="81"/>
      <c r="S7" s="81"/>
      <c r="T7" s="81"/>
      <c r="U7" s="81"/>
      <c r="V7" s="81"/>
      <c r="W7" s="81"/>
      <c r="X7" s="82"/>
    </row>
    <row r="8" ht="15.75" customHeight="1">
      <c r="A8" s="49"/>
      <c r="B8" s="50"/>
      <c r="C8" s="50"/>
      <c r="D8" s="50"/>
      <c r="E8" s="50"/>
      <c r="F8" s="50"/>
      <c r="G8" s="50"/>
      <c r="H8" s="50"/>
      <c r="I8" s="50"/>
      <c r="J8" s="50"/>
      <c r="K8" s="50"/>
      <c r="L8" s="50"/>
      <c r="M8" s="50"/>
      <c r="N8" s="50"/>
      <c r="O8" s="50"/>
      <c r="P8" s="50"/>
      <c r="Q8" s="50"/>
      <c r="R8" s="50"/>
      <c r="S8" s="50"/>
      <c r="T8" s="50"/>
      <c r="U8" s="50"/>
      <c r="V8" s="50"/>
      <c r="W8" s="50"/>
      <c r="X8" s="51"/>
    </row>
    <row r="9" ht="15.75" customHeight="1">
      <c r="A9" s="296" t="s">
        <v>458</v>
      </c>
      <c r="B9" s="9"/>
      <c r="C9" s="9"/>
      <c r="D9" s="9"/>
      <c r="E9" s="9"/>
      <c r="F9" s="9"/>
      <c r="G9" s="9"/>
      <c r="H9" s="9"/>
      <c r="I9" s="9"/>
      <c r="J9" s="9"/>
      <c r="K9" s="9"/>
      <c r="L9" s="9"/>
      <c r="M9" s="9"/>
      <c r="N9" s="9"/>
      <c r="O9" s="9"/>
      <c r="P9" s="9"/>
      <c r="Q9" s="9"/>
      <c r="R9" s="9"/>
      <c r="S9" s="9"/>
      <c r="T9" s="9"/>
      <c r="U9" s="9"/>
      <c r="V9" s="9"/>
      <c r="W9" s="9"/>
      <c r="X9" s="10"/>
    </row>
    <row r="10" ht="15.75" customHeight="1">
      <c r="A10" s="75" t="s">
        <v>459</v>
      </c>
      <c r="B10" s="51"/>
      <c r="C10" s="75" t="s">
        <v>460</v>
      </c>
      <c r="D10" s="50"/>
      <c r="E10" s="50"/>
      <c r="F10" s="50"/>
      <c r="G10" s="51"/>
      <c r="H10" s="75" t="s">
        <v>461</v>
      </c>
      <c r="I10" s="50"/>
      <c r="J10" s="50"/>
      <c r="K10" s="50"/>
      <c r="L10" s="51"/>
      <c r="M10" s="75" t="s">
        <v>462</v>
      </c>
      <c r="N10" s="50"/>
      <c r="O10" s="50"/>
      <c r="P10" s="50"/>
      <c r="Q10" s="50"/>
      <c r="R10" s="51"/>
      <c r="S10" s="75" t="s">
        <v>252</v>
      </c>
      <c r="T10" s="50"/>
      <c r="U10" s="50"/>
      <c r="V10" s="50"/>
      <c r="W10" s="50"/>
      <c r="X10" s="51"/>
    </row>
    <row r="11" ht="15.75" customHeight="1">
      <c r="A11" s="297" t="s">
        <v>180</v>
      </c>
      <c r="C11" s="83" t="s">
        <v>463</v>
      </c>
      <c r="H11" s="83" t="s">
        <v>464</v>
      </c>
      <c r="M11" s="83" t="s">
        <v>465</v>
      </c>
      <c r="S11" s="83" t="s">
        <v>466</v>
      </c>
      <c r="X11" s="80"/>
    </row>
    <row r="12" ht="15.75" customHeight="1">
      <c r="A12" s="186" t="s">
        <v>180</v>
      </c>
      <c r="B12" s="81"/>
      <c r="C12" s="298" t="s">
        <v>467</v>
      </c>
      <c r="D12" s="81"/>
      <c r="E12" s="81"/>
      <c r="F12" s="81"/>
      <c r="G12" s="81"/>
      <c r="H12" s="298" t="s">
        <v>468</v>
      </c>
      <c r="I12" s="81"/>
      <c r="J12" s="81"/>
      <c r="K12" s="81"/>
      <c r="L12" s="81"/>
      <c r="M12" s="298" t="s">
        <v>465</v>
      </c>
      <c r="N12" s="81"/>
      <c r="O12" s="81"/>
      <c r="P12" s="81"/>
      <c r="Q12" s="81"/>
      <c r="R12" s="81"/>
      <c r="S12" s="298" t="s">
        <v>469</v>
      </c>
      <c r="T12" s="81"/>
      <c r="U12" s="81"/>
      <c r="V12" s="81"/>
      <c r="W12" s="81"/>
      <c r="X12" s="82"/>
    </row>
    <row r="13" ht="15.75" customHeight="1">
      <c r="A13" s="234" t="s">
        <v>180</v>
      </c>
      <c r="B13" s="81"/>
      <c r="C13" s="81"/>
      <c r="D13" s="81"/>
      <c r="E13" s="81"/>
      <c r="F13" s="81"/>
      <c r="G13" s="81"/>
      <c r="H13" s="81"/>
      <c r="I13" s="81"/>
      <c r="J13" s="81"/>
      <c r="K13" s="81"/>
      <c r="L13" s="81"/>
      <c r="M13" s="81"/>
      <c r="N13" s="81"/>
      <c r="O13" s="81"/>
      <c r="P13" s="81"/>
      <c r="Q13" s="81"/>
      <c r="R13" s="81"/>
      <c r="S13" s="81"/>
      <c r="T13" s="81"/>
      <c r="U13" s="81"/>
      <c r="V13" s="81"/>
      <c r="W13" s="81"/>
      <c r="X13" s="82"/>
    </row>
    <row r="14" ht="15.75" customHeight="1">
      <c r="A14" s="49" t="s">
        <v>470</v>
      </c>
      <c r="B14" s="50"/>
      <c r="C14" s="50"/>
      <c r="D14" s="50"/>
      <c r="E14" s="50"/>
      <c r="F14" s="50"/>
      <c r="G14" s="50"/>
      <c r="H14" s="50"/>
      <c r="I14" s="50"/>
      <c r="J14" s="50"/>
      <c r="K14" s="50"/>
      <c r="L14" s="50"/>
      <c r="M14" s="50"/>
      <c r="N14" s="50"/>
      <c r="O14" s="50"/>
      <c r="P14" s="50"/>
      <c r="Q14" s="50"/>
      <c r="R14" s="50"/>
      <c r="S14" s="50"/>
      <c r="T14" s="50"/>
      <c r="U14" s="50"/>
      <c r="V14" s="50"/>
      <c r="W14" s="50"/>
      <c r="X14" s="51"/>
    </row>
    <row r="15" ht="15.75" customHeight="1">
      <c r="A15" s="163" t="s">
        <v>112</v>
      </c>
      <c r="B15" s="75" t="s">
        <v>471</v>
      </c>
      <c r="C15" s="50"/>
      <c r="D15" s="50"/>
      <c r="E15" s="51"/>
      <c r="F15" s="75" t="s">
        <v>472</v>
      </c>
      <c r="G15" s="50"/>
      <c r="H15" s="50"/>
      <c r="I15" s="51"/>
      <c r="J15" s="75" t="s">
        <v>473</v>
      </c>
      <c r="K15" s="50"/>
      <c r="L15" s="50"/>
      <c r="M15" s="51"/>
      <c r="N15" s="75" t="s">
        <v>474</v>
      </c>
      <c r="O15" s="50"/>
      <c r="P15" s="50"/>
      <c r="Q15" s="51"/>
      <c r="R15" s="75" t="s">
        <v>475</v>
      </c>
      <c r="S15" s="50"/>
      <c r="T15" s="51"/>
      <c r="U15" s="75" t="s">
        <v>252</v>
      </c>
      <c r="V15" s="50"/>
      <c r="W15" s="50"/>
      <c r="X15" s="51"/>
    </row>
    <row r="16" ht="15.75" customHeight="1">
      <c r="A16" s="297">
        <v>2.1</v>
      </c>
      <c r="B16" s="83" t="s">
        <v>476</v>
      </c>
      <c r="F16" s="83" t="s">
        <v>477</v>
      </c>
      <c r="J16" s="83" t="s">
        <v>478</v>
      </c>
      <c r="N16" s="83" t="s">
        <v>479</v>
      </c>
      <c r="R16" s="83" t="s">
        <v>480</v>
      </c>
      <c r="U16" s="83" t="s">
        <v>481</v>
      </c>
      <c r="X16" s="80"/>
    </row>
    <row r="17" ht="15.75" customHeight="1">
      <c r="A17" s="297">
        <v>2.2</v>
      </c>
      <c r="B17" s="83" t="s">
        <v>482</v>
      </c>
      <c r="F17" s="83" t="s">
        <v>483</v>
      </c>
      <c r="J17" s="83" t="s">
        <v>478</v>
      </c>
      <c r="N17" s="83" t="s">
        <v>484</v>
      </c>
      <c r="R17" s="83" t="s">
        <v>485</v>
      </c>
      <c r="U17" s="83" t="s">
        <v>486</v>
      </c>
      <c r="X17" s="80"/>
    </row>
    <row r="18" ht="15.75" customHeight="1">
      <c r="A18" s="186">
        <v>2.3</v>
      </c>
      <c r="B18" s="298" t="s">
        <v>487</v>
      </c>
      <c r="C18" s="81"/>
      <c r="D18" s="81"/>
      <c r="E18" s="81"/>
      <c r="F18" s="298" t="s">
        <v>488</v>
      </c>
      <c r="G18" s="81"/>
      <c r="H18" s="81"/>
      <c r="I18" s="81"/>
      <c r="J18" s="298" t="s">
        <v>478</v>
      </c>
      <c r="K18" s="81"/>
      <c r="L18" s="81"/>
      <c r="M18" s="81"/>
      <c r="N18" s="298" t="s">
        <v>489</v>
      </c>
      <c r="O18" s="81"/>
      <c r="P18" s="81"/>
      <c r="Q18" s="81"/>
      <c r="R18" s="298" t="s">
        <v>480</v>
      </c>
      <c r="S18" s="81"/>
      <c r="T18" s="81"/>
      <c r="U18" s="298" t="s">
        <v>490</v>
      </c>
      <c r="V18" s="81"/>
      <c r="W18" s="81"/>
      <c r="X18" s="82"/>
    </row>
    <row r="19" ht="15.75" customHeight="1">
      <c r="A19" s="49" t="s">
        <v>180</v>
      </c>
      <c r="B19" s="50"/>
      <c r="C19" s="50"/>
      <c r="D19" s="50"/>
      <c r="E19" s="50"/>
      <c r="F19" s="50"/>
      <c r="G19" s="50"/>
      <c r="H19" s="50"/>
      <c r="I19" s="50"/>
      <c r="J19" s="50"/>
      <c r="K19" s="50"/>
      <c r="L19" s="50"/>
      <c r="M19" s="50"/>
      <c r="N19" s="50"/>
      <c r="O19" s="50"/>
      <c r="P19" s="50"/>
      <c r="Q19" s="50"/>
      <c r="R19" s="50"/>
      <c r="S19" s="50"/>
      <c r="T19" s="50"/>
      <c r="U19" s="50"/>
      <c r="V19" s="50"/>
      <c r="W19" s="50"/>
      <c r="X19" s="51"/>
    </row>
    <row r="20" ht="15.75" customHeight="1">
      <c r="A20" s="49" t="s">
        <v>491</v>
      </c>
      <c r="B20" s="50"/>
      <c r="C20" s="50"/>
      <c r="D20" s="50"/>
      <c r="E20" s="50"/>
      <c r="F20" s="50"/>
      <c r="G20" s="50"/>
      <c r="H20" s="50"/>
      <c r="I20" s="50"/>
      <c r="J20" s="50"/>
      <c r="K20" s="50"/>
      <c r="L20" s="50"/>
      <c r="M20" s="50"/>
      <c r="N20" s="50"/>
      <c r="O20" s="50"/>
      <c r="P20" s="50"/>
      <c r="Q20" s="50"/>
      <c r="R20" s="50"/>
      <c r="S20" s="50"/>
      <c r="T20" s="50"/>
      <c r="U20" s="50"/>
      <c r="V20" s="50"/>
      <c r="W20" s="50"/>
      <c r="X20" s="51"/>
    </row>
    <row r="21" ht="15.75" customHeight="1">
      <c r="A21" s="163" t="s">
        <v>112</v>
      </c>
      <c r="B21" s="75" t="s">
        <v>492</v>
      </c>
      <c r="C21" s="50"/>
      <c r="D21" s="50"/>
      <c r="E21" s="51"/>
      <c r="F21" s="75" t="s">
        <v>493</v>
      </c>
      <c r="G21" s="50"/>
      <c r="H21" s="50"/>
      <c r="I21" s="51"/>
      <c r="J21" s="75" t="s">
        <v>494</v>
      </c>
      <c r="K21" s="50"/>
      <c r="L21" s="50"/>
      <c r="M21" s="50"/>
      <c r="N21" s="51"/>
      <c r="O21" s="75" t="s">
        <v>495</v>
      </c>
      <c r="P21" s="50"/>
      <c r="Q21" s="50"/>
      <c r="R21" s="50"/>
      <c r="S21" s="50"/>
      <c r="T21" s="50"/>
      <c r="U21" s="50"/>
      <c r="V21" s="50"/>
      <c r="W21" s="50"/>
      <c r="X21" s="51"/>
    </row>
    <row r="22" ht="15.75" customHeight="1">
      <c r="A22" s="77">
        <v>3.1</v>
      </c>
      <c r="B22" s="299" t="s">
        <v>496</v>
      </c>
      <c r="C22" s="9"/>
      <c r="D22" s="9"/>
      <c r="E22" s="9"/>
      <c r="F22" s="299" t="s">
        <v>497</v>
      </c>
      <c r="G22" s="9"/>
      <c r="H22" s="9"/>
      <c r="I22" s="9"/>
      <c r="J22" s="299" t="s">
        <v>498</v>
      </c>
      <c r="K22" s="9"/>
      <c r="L22" s="9"/>
      <c r="M22" s="9"/>
      <c r="N22" s="9"/>
      <c r="O22" s="299" t="s">
        <v>499</v>
      </c>
      <c r="P22" s="9"/>
      <c r="Q22" s="9"/>
      <c r="R22" s="9"/>
      <c r="S22" s="9"/>
      <c r="T22" s="9"/>
      <c r="U22" s="9"/>
      <c r="V22" s="9"/>
      <c r="W22" s="9"/>
      <c r="X22" s="10"/>
    </row>
    <row r="23" ht="15.75" customHeight="1">
      <c r="A23" s="297">
        <v>3.2</v>
      </c>
      <c r="B23" s="83" t="s">
        <v>500</v>
      </c>
      <c r="F23" s="83" t="s">
        <v>497</v>
      </c>
      <c r="J23" s="83" t="s">
        <v>498</v>
      </c>
      <c r="O23" s="83" t="s">
        <v>501</v>
      </c>
      <c r="X23" s="80"/>
    </row>
    <row r="24" ht="15.75" customHeight="1">
      <c r="A24" s="186">
        <v>3.3</v>
      </c>
      <c r="B24" s="298" t="s">
        <v>502</v>
      </c>
      <c r="C24" s="81"/>
      <c r="D24" s="81"/>
      <c r="E24" s="81"/>
      <c r="F24" s="298" t="s">
        <v>497</v>
      </c>
      <c r="G24" s="81"/>
      <c r="H24" s="81"/>
      <c r="I24" s="81"/>
      <c r="J24" s="298" t="s">
        <v>498</v>
      </c>
      <c r="K24" s="81"/>
      <c r="L24" s="81"/>
      <c r="M24" s="81"/>
      <c r="N24" s="81"/>
      <c r="O24" s="298" t="s">
        <v>503</v>
      </c>
      <c r="P24" s="81"/>
      <c r="Q24" s="81"/>
      <c r="R24" s="81"/>
      <c r="S24" s="81"/>
      <c r="T24" s="81"/>
      <c r="U24" s="81"/>
      <c r="V24" s="81"/>
      <c r="W24" s="81"/>
      <c r="X24" s="82"/>
    </row>
    <row r="25" ht="15.75" customHeight="1">
      <c r="A25" s="49" t="s">
        <v>180</v>
      </c>
      <c r="B25" s="50"/>
      <c r="C25" s="50"/>
      <c r="D25" s="50"/>
      <c r="E25" s="50"/>
      <c r="F25" s="50"/>
      <c r="G25" s="50"/>
      <c r="H25" s="50"/>
      <c r="I25" s="50"/>
      <c r="J25" s="50"/>
      <c r="K25" s="50"/>
      <c r="L25" s="50"/>
      <c r="M25" s="50"/>
      <c r="N25" s="50"/>
      <c r="O25" s="50"/>
      <c r="P25" s="50"/>
      <c r="Q25" s="50"/>
      <c r="R25" s="50"/>
      <c r="S25" s="50"/>
      <c r="T25" s="50"/>
      <c r="U25" s="50"/>
      <c r="V25" s="50"/>
      <c r="W25" s="50"/>
      <c r="X25" s="51"/>
    </row>
    <row r="26" ht="15.75" customHeight="1">
      <c r="A26" s="49" t="s">
        <v>504</v>
      </c>
      <c r="B26" s="50"/>
      <c r="C26" s="50"/>
      <c r="D26" s="50"/>
      <c r="E26" s="50"/>
      <c r="F26" s="50"/>
      <c r="G26" s="50"/>
      <c r="H26" s="50"/>
      <c r="I26" s="50"/>
      <c r="J26" s="50"/>
      <c r="K26" s="50"/>
      <c r="L26" s="50"/>
      <c r="M26" s="50"/>
      <c r="N26" s="50"/>
      <c r="O26" s="50"/>
      <c r="P26" s="50"/>
      <c r="Q26" s="50"/>
      <c r="R26" s="50"/>
      <c r="S26" s="50"/>
      <c r="T26" s="50"/>
      <c r="U26" s="50"/>
      <c r="V26" s="50"/>
      <c r="W26" s="50"/>
      <c r="X26" s="51"/>
    </row>
    <row r="27" ht="15.75" customHeight="1">
      <c r="A27" s="49" t="s">
        <v>505</v>
      </c>
      <c r="B27" s="50"/>
      <c r="C27" s="50"/>
      <c r="D27" s="50"/>
      <c r="E27" s="50"/>
      <c r="F27" s="50"/>
      <c r="G27" s="50"/>
      <c r="H27" s="50"/>
      <c r="I27" s="50"/>
      <c r="J27" s="50"/>
      <c r="K27" s="50"/>
      <c r="L27" s="50"/>
      <c r="M27" s="50"/>
      <c r="N27" s="50"/>
      <c r="O27" s="50"/>
      <c r="P27" s="50"/>
      <c r="Q27" s="50"/>
      <c r="R27" s="50"/>
      <c r="S27" s="50"/>
      <c r="T27" s="50"/>
      <c r="U27" s="50"/>
      <c r="V27" s="50"/>
      <c r="W27" s="50"/>
      <c r="X27" s="51"/>
    </row>
    <row r="28" ht="15.75" customHeight="1">
      <c r="A28" s="75" t="s">
        <v>506</v>
      </c>
      <c r="B28" s="50"/>
      <c r="C28" s="50"/>
      <c r="D28" s="50"/>
      <c r="E28" s="165" t="s">
        <v>180</v>
      </c>
      <c r="F28" s="50"/>
      <c r="G28" s="50"/>
      <c r="H28" s="50"/>
      <c r="I28" s="50"/>
      <c r="J28" s="50"/>
      <c r="K28" s="50"/>
      <c r="L28" s="50"/>
      <c r="M28" s="165" t="s">
        <v>449</v>
      </c>
      <c r="N28" s="50"/>
      <c r="O28" s="50"/>
      <c r="P28" s="50"/>
      <c r="Q28" s="165" t="s">
        <v>507</v>
      </c>
      <c r="R28" s="50"/>
      <c r="S28" s="50"/>
      <c r="T28" s="50"/>
      <c r="U28" s="50"/>
      <c r="V28" s="50"/>
      <c r="W28" s="50"/>
      <c r="X28" s="51"/>
    </row>
    <row r="29" ht="15.75" customHeight="1"/>
    <row r="30" ht="15.75" customHeight="1"/>
    <row r="31" ht="15.75" customHeight="1">
      <c r="A31" s="83"/>
      <c r="B31" s="83"/>
      <c r="C31" s="83"/>
      <c r="D31" s="83"/>
      <c r="E31" s="83"/>
      <c r="F31" s="83"/>
      <c r="G31" s="83"/>
      <c r="H31" s="83"/>
      <c r="I31" s="83"/>
      <c r="J31" s="83"/>
      <c r="K31" s="83"/>
      <c r="L31" s="83"/>
      <c r="M31" s="83"/>
      <c r="N31" s="83"/>
      <c r="O31" s="83"/>
      <c r="P31" s="83"/>
      <c r="Q31" s="83"/>
      <c r="R31" s="83"/>
      <c r="S31" s="83"/>
      <c r="T31" s="83"/>
      <c r="U31" s="83"/>
      <c r="V31" s="83"/>
      <c r="W31" s="83"/>
      <c r="X31" s="83"/>
    </row>
    <row r="32" ht="15.75" customHeight="1">
      <c r="A32" s="83"/>
      <c r="B32" s="83"/>
      <c r="C32" s="83"/>
      <c r="D32" s="83"/>
      <c r="E32" s="83"/>
      <c r="F32" s="83"/>
      <c r="G32" s="83"/>
      <c r="H32" s="83"/>
      <c r="I32" s="83"/>
      <c r="J32" s="83"/>
      <c r="K32" s="83"/>
      <c r="L32" s="83"/>
      <c r="M32" s="83"/>
      <c r="N32" s="83"/>
      <c r="O32" s="83"/>
      <c r="P32" s="83"/>
      <c r="Q32" s="83"/>
      <c r="R32" s="83"/>
      <c r="S32" s="83"/>
      <c r="T32" s="83"/>
      <c r="U32" s="83"/>
      <c r="V32" s="83"/>
      <c r="W32" s="83"/>
      <c r="X32" s="83"/>
    </row>
    <row r="33" ht="15.75" customHeight="1">
      <c r="A33" s="83"/>
      <c r="B33" s="83"/>
      <c r="C33" s="83"/>
      <c r="D33" s="83"/>
      <c r="E33" s="83"/>
      <c r="F33" s="83"/>
      <c r="G33" s="83"/>
      <c r="H33" s="83"/>
      <c r="I33" s="83"/>
      <c r="J33" s="83"/>
      <c r="K33" s="83"/>
      <c r="L33" s="83"/>
      <c r="M33" s="83"/>
      <c r="N33" s="83"/>
      <c r="O33" s="83"/>
      <c r="P33" s="83"/>
      <c r="Q33" s="83"/>
      <c r="R33" s="83"/>
      <c r="S33" s="83"/>
      <c r="T33" s="83"/>
      <c r="U33" s="83"/>
      <c r="V33" s="83"/>
      <c r="W33" s="83"/>
      <c r="X33" s="83"/>
    </row>
    <row r="34" ht="15.7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row>
    <row r="35" ht="15.75" customHeight="1">
      <c r="A35" s="83"/>
      <c r="B35" s="83"/>
      <c r="C35" s="83"/>
      <c r="D35" s="83"/>
      <c r="E35" s="83"/>
      <c r="F35" s="83"/>
      <c r="G35" s="83"/>
      <c r="H35" s="83"/>
      <c r="I35" s="83"/>
      <c r="J35" s="83"/>
      <c r="K35" s="83"/>
      <c r="L35" s="83"/>
      <c r="M35" s="83"/>
      <c r="N35" s="83"/>
      <c r="O35" s="83"/>
      <c r="P35" s="83"/>
      <c r="Q35" s="83"/>
      <c r="R35" s="83"/>
      <c r="S35" s="83"/>
      <c r="T35" s="83"/>
      <c r="U35" s="83"/>
      <c r="V35" s="83"/>
      <c r="W35" s="83"/>
      <c r="X35" s="83"/>
    </row>
    <row r="36" ht="15.75" customHeight="1">
      <c r="A36" s="83"/>
      <c r="B36" s="83"/>
      <c r="C36" s="83"/>
      <c r="D36" s="83"/>
      <c r="E36" s="83"/>
      <c r="F36" s="83"/>
      <c r="G36" s="83"/>
      <c r="H36" s="83"/>
      <c r="I36" s="83"/>
      <c r="J36" s="83"/>
      <c r="K36" s="83"/>
      <c r="L36" s="83"/>
      <c r="M36" s="83"/>
      <c r="N36" s="83"/>
      <c r="O36" s="83"/>
      <c r="P36" s="83"/>
      <c r="Q36" s="83"/>
      <c r="R36" s="83"/>
      <c r="S36" s="83"/>
      <c r="T36" s="83"/>
      <c r="U36" s="83"/>
      <c r="V36" s="83"/>
      <c r="W36" s="83"/>
      <c r="X36" s="83"/>
    </row>
    <row r="37" ht="15.75" customHeight="1">
      <c r="A37" s="83"/>
      <c r="B37" s="83"/>
      <c r="C37" s="83"/>
      <c r="D37" s="83"/>
      <c r="E37" s="83"/>
      <c r="F37" s="83"/>
      <c r="G37" s="83"/>
      <c r="H37" s="83"/>
      <c r="I37" s="83"/>
      <c r="J37" s="83"/>
      <c r="K37" s="83"/>
      <c r="L37" s="83"/>
      <c r="M37" s="83"/>
      <c r="N37" s="83"/>
      <c r="O37" s="83"/>
      <c r="P37" s="83"/>
      <c r="Q37" s="83"/>
      <c r="R37" s="83"/>
      <c r="S37" s="83"/>
      <c r="T37" s="83"/>
      <c r="U37" s="83"/>
      <c r="V37" s="83"/>
      <c r="W37" s="83"/>
      <c r="X37" s="83"/>
    </row>
    <row r="38" ht="15.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row>
    <row r="39" ht="15.75" customHeight="1">
      <c r="A39" s="83"/>
      <c r="B39" s="83"/>
      <c r="C39" s="83"/>
      <c r="D39" s="83"/>
      <c r="E39" s="83"/>
      <c r="F39" s="83"/>
      <c r="G39" s="83"/>
      <c r="H39" s="83"/>
      <c r="I39" s="83"/>
      <c r="J39" s="83"/>
      <c r="K39" s="83"/>
      <c r="L39" s="83"/>
      <c r="M39" s="83"/>
      <c r="N39" s="83"/>
      <c r="O39" s="83"/>
      <c r="P39" s="83"/>
      <c r="Q39" s="83"/>
      <c r="R39" s="83"/>
      <c r="S39" s="83"/>
      <c r="T39" s="83"/>
      <c r="U39" s="83"/>
      <c r="V39" s="83"/>
      <c r="W39" s="83"/>
      <c r="X39" s="83"/>
    </row>
    <row r="40" ht="15.75" customHeight="1">
      <c r="A40" s="83"/>
      <c r="B40" s="83"/>
      <c r="C40" s="83"/>
      <c r="D40" s="83"/>
      <c r="E40" s="83"/>
      <c r="F40" s="83"/>
      <c r="G40" s="83"/>
      <c r="H40" s="83"/>
      <c r="I40" s="83"/>
      <c r="J40" s="83"/>
      <c r="K40" s="83"/>
      <c r="L40" s="83"/>
      <c r="M40" s="83"/>
      <c r="N40" s="83"/>
      <c r="O40" s="83"/>
      <c r="P40" s="83"/>
      <c r="Q40" s="83"/>
      <c r="R40" s="83"/>
      <c r="S40" s="83"/>
      <c r="T40" s="83"/>
      <c r="U40" s="83"/>
      <c r="V40" s="83"/>
      <c r="W40" s="83"/>
      <c r="X40" s="83"/>
    </row>
    <row r="41" ht="15.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row>
    <row r="42" ht="15.75" customHeight="1">
      <c r="A42" s="83"/>
      <c r="B42" s="83"/>
      <c r="C42" s="83"/>
      <c r="D42" s="83"/>
      <c r="E42" s="83"/>
      <c r="F42" s="83"/>
      <c r="G42" s="83"/>
      <c r="H42" s="83"/>
      <c r="I42" s="83"/>
      <c r="J42" s="83"/>
      <c r="K42" s="83"/>
      <c r="L42" s="83"/>
      <c r="M42" s="83"/>
      <c r="N42" s="83"/>
      <c r="O42" s="83"/>
      <c r="P42" s="83"/>
      <c r="Q42" s="83"/>
      <c r="R42" s="83"/>
      <c r="S42" s="83"/>
      <c r="T42" s="83"/>
      <c r="U42" s="83"/>
      <c r="V42" s="83"/>
      <c r="W42" s="83"/>
      <c r="X42" s="83"/>
    </row>
    <row r="43" ht="15.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row>
    <row r="44" ht="15.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row>
    <row r="45" ht="15.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row>
    <row r="46" ht="15.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row>
    <row r="47" ht="15.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6">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H10:L10"/>
    <mergeCell ref="M10:R10"/>
    <mergeCell ref="E5:F5"/>
    <mergeCell ref="G5:H5"/>
    <mergeCell ref="A7:X7"/>
    <mergeCell ref="A8:X8"/>
    <mergeCell ref="A9:X9"/>
    <mergeCell ref="C10:G10"/>
    <mergeCell ref="S10:X10"/>
    <mergeCell ref="M12:R12"/>
    <mergeCell ref="S12:X12"/>
    <mergeCell ref="A10:B10"/>
    <mergeCell ref="A11:B11"/>
    <mergeCell ref="C11:G11"/>
    <mergeCell ref="H11:L11"/>
    <mergeCell ref="M11:R11"/>
    <mergeCell ref="S11:X11"/>
    <mergeCell ref="A12:B12"/>
    <mergeCell ref="N15:Q15"/>
    <mergeCell ref="R15:T15"/>
    <mergeCell ref="C12:G12"/>
    <mergeCell ref="H12:L12"/>
    <mergeCell ref="A13:X13"/>
    <mergeCell ref="A14:X14"/>
    <mergeCell ref="F15:I15"/>
    <mergeCell ref="J15:M15"/>
    <mergeCell ref="U15:X15"/>
    <mergeCell ref="F18:I18"/>
    <mergeCell ref="J18:M18"/>
    <mergeCell ref="N18:Q18"/>
    <mergeCell ref="R18:T18"/>
    <mergeCell ref="B17:E17"/>
    <mergeCell ref="F17:I17"/>
    <mergeCell ref="J17:M17"/>
    <mergeCell ref="N17:Q17"/>
    <mergeCell ref="R17:T17"/>
    <mergeCell ref="U17:X17"/>
    <mergeCell ref="B18:E18"/>
    <mergeCell ref="U18:X18"/>
    <mergeCell ref="A19:X19"/>
    <mergeCell ref="A20:X20"/>
    <mergeCell ref="B21:E21"/>
    <mergeCell ref="F21:I21"/>
    <mergeCell ref="J21:N21"/>
    <mergeCell ref="O21:X21"/>
    <mergeCell ref="B22:E22"/>
    <mergeCell ref="F22:I22"/>
    <mergeCell ref="J22:N22"/>
    <mergeCell ref="O22:X22"/>
    <mergeCell ref="F23:I23"/>
    <mergeCell ref="J23:N23"/>
    <mergeCell ref="O23:X23"/>
    <mergeCell ref="B24:E24"/>
    <mergeCell ref="A28:D28"/>
    <mergeCell ref="E28:L28"/>
    <mergeCell ref="M28:P28"/>
    <mergeCell ref="Q28:X28"/>
    <mergeCell ref="B23:E23"/>
    <mergeCell ref="F24:I24"/>
    <mergeCell ref="J24:N24"/>
    <mergeCell ref="O24:X24"/>
    <mergeCell ref="A25:X25"/>
    <mergeCell ref="A26:X26"/>
    <mergeCell ref="A27:X27"/>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B15:E15"/>
    <mergeCell ref="B16:E16"/>
    <mergeCell ref="F16:I16"/>
    <mergeCell ref="J16:M16"/>
    <mergeCell ref="N16:Q16"/>
    <mergeCell ref="R16:T16"/>
    <mergeCell ref="U16:X1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206" t="s">
        <v>0</v>
      </c>
      <c r="B1" s="207"/>
      <c r="C1" s="208"/>
      <c r="D1" s="207"/>
      <c r="E1" s="209" t="s">
        <v>1</v>
      </c>
      <c r="F1" s="207"/>
      <c r="G1" s="208" t="s">
        <v>70</v>
      </c>
      <c r="H1" s="207"/>
      <c r="I1" s="209" t="s">
        <v>2</v>
      </c>
      <c r="J1" s="207"/>
      <c r="K1" s="210"/>
      <c r="L1" s="207"/>
      <c r="M1" s="211" t="s">
        <v>3</v>
      </c>
      <c r="N1" s="207"/>
      <c r="O1" s="212">
        <v>4.0</v>
      </c>
      <c r="P1" s="207"/>
      <c r="Q1" s="209" t="s">
        <v>4</v>
      </c>
      <c r="R1" s="207"/>
      <c r="S1" s="208" t="s">
        <v>105</v>
      </c>
      <c r="T1" s="207"/>
      <c r="U1" s="213"/>
      <c r="V1" s="214"/>
      <c r="W1" s="214"/>
      <c r="X1" s="215"/>
    </row>
    <row r="2" ht="15.75" customHeight="1">
      <c r="A2" s="216" t="s">
        <v>5</v>
      </c>
      <c r="B2" s="12"/>
      <c r="C2" s="13"/>
      <c r="D2" s="12"/>
      <c r="E2" s="14" t="s">
        <v>6</v>
      </c>
      <c r="F2" s="12"/>
      <c r="G2" s="13"/>
      <c r="H2" s="12"/>
      <c r="I2" s="14" t="s">
        <v>7</v>
      </c>
      <c r="J2" s="12"/>
      <c r="K2" s="15"/>
      <c r="L2" s="12"/>
      <c r="M2" s="16" t="s">
        <v>8</v>
      </c>
      <c r="N2" s="12"/>
      <c r="O2" s="13" t="s">
        <v>9</v>
      </c>
      <c r="P2" s="12"/>
      <c r="Q2" s="14" t="s">
        <v>10</v>
      </c>
      <c r="R2" s="12"/>
      <c r="S2" s="13" t="s">
        <v>393</v>
      </c>
      <c r="T2" s="12"/>
      <c r="U2" s="217"/>
      <c r="V2" s="218"/>
      <c r="W2" s="218"/>
      <c r="X2" s="219"/>
    </row>
    <row r="3" ht="15.75" customHeight="1">
      <c r="A3" s="216" t="s">
        <v>11</v>
      </c>
      <c r="B3" s="12"/>
      <c r="C3" s="13"/>
      <c r="D3" s="12"/>
      <c r="E3" s="14" t="s">
        <v>12</v>
      </c>
      <c r="F3" s="12"/>
      <c r="G3" s="13" t="s">
        <v>135</v>
      </c>
      <c r="H3" s="12"/>
      <c r="I3" s="14" t="s">
        <v>13</v>
      </c>
      <c r="J3" s="12"/>
      <c r="K3" s="20"/>
      <c r="L3" s="12"/>
      <c r="M3" s="16" t="s">
        <v>14</v>
      </c>
      <c r="N3" s="12"/>
      <c r="O3" s="13" t="s">
        <v>15</v>
      </c>
      <c r="P3" s="12"/>
      <c r="Q3" s="14" t="s">
        <v>16</v>
      </c>
      <c r="R3" s="12"/>
      <c r="S3" s="13" t="s">
        <v>508</v>
      </c>
      <c r="T3" s="12"/>
      <c r="U3" s="220" t="s">
        <v>17</v>
      </c>
      <c r="V3" s="18"/>
      <c r="W3" s="18"/>
      <c r="X3" s="221"/>
    </row>
    <row r="4" ht="15.75" customHeight="1">
      <c r="A4" s="216" t="s">
        <v>18</v>
      </c>
      <c r="B4" s="12"/>
      <c r="C4" s="13" t="s">
        <v>107</v>
      </c>
      <c r="D4" s="12"/>
      <c r="E4" s="14" t="s">
        <v>20</v>
      </c>
      <c r="F4" s="12"/>
      <c r="G4" s="13" t="s">
        <v>70</v>
      </c>
      <c r="H4" s="12"/>
      <c r="I4" s="14" t="s">
        <v>21</v>
      </c>
      <c r="J4" s="12"/>
      <c r="K4" s="24"/>
      <c r="L4" s="25"/>
      <c r="M4" s="26" t="s">
        <v>22</v>
      </c>
      <c r="N4" s="27"/>
      <c r="O4" s="28">
        <v>0.0</v>
      </c>
      <c r="P4" s="27"/>
      <c r="Q4" s="14" t="s">
        <v>23</v>
      </c>
      <c r="R4" s="12"/>
      <c r="S4" s="20"/>
      <c r="T4" s="12"/>
      <c r="U4" s="29" t="s">
        <v>24</v>
      </c>
      <c r="V4" s="22"/>
      <c r="W4" s="22"/>
      <c r="X4" s="222"/>
    </row>
    <row r="5" ht="15.75" customHeight="1">
      <c r="A5" s="223" t="s">
        <v>25</v>
      </c>
      <c r="B5" s="27"/>
      <c r="C5" s="31"/>
      <c r="D5" s="27"/>
      <c r="E5" s="14" t="s">
        <v>27</v>
      </c>
      <c r="F5" s="12"/>
      <c r="G5" s="13" t="s">
        <v>69</v>
      </c>
      <c r="H5" s="12"/>
      <c r="I5" s="14" t="s">
        <v>28</v>
      </c>
      <c r="J5" s="12"/>
      <c r="K5" s="32"/>
      <c r="L5" s="33"/>
      <c r="M5" s="34"/>
      <c r="N5" s="35"/>
      <c r="O5" s="34"/>
      <c r="P5" s="35"/>
      <c r="Q5" s="36" t="s">
        <v>29</v>
      </c>
      <c r="R5" s="27"/>
      <c r="S5" s="37"/>
      <c r="T5" s="27"/>
      <c r="U5" s="38" t="s">
        <v>30</v>
      </c>
      <c r="V5" s="22"/>
      <c r="W5" s="22"/>
      <c r="X5" s="222"/>
    </row>
    <row r="6" ht="15.75" customHeight="1">
      <c r="A6" s="224"/>
      <c r="B6" s="225"/>
      <c r="C6" s="226"/>
      <c r="D6" s="225"/>
      <c r="E6" s="227" t="s">
        <v>31</v>
      </c>
      <c r="F6" s="228"/>
      <c r="G6" s="229" t="s">
        <v>137</v>
      </c>
      <c r="H6" s="228"/>
      <c r="I6" s="227" t="s">
        <v>32</v>
      </c>
      <c r="J6" s="228"/>
      <c r="K6" s="230"/>
      <c r="L6" s="228"/>
      <c r="M6" s="226"/>
      <c r="N6" s="225"/>
      <c r="O6" s="226"/>
      <c r="P6" s="225"/>
      <c r="Q6" s="226"/>
      <c r="R6" s="225"/>
      <c r="S6" s="226"/>
      <c r="T6" s="225"/>
      <c r="U6" s="231" t="s">
        <v>33</v>
      </c>
      <c r="V6" s="232"/>
      <c r="W6" s="232"/>
      <c r="X6" s="233"/>
    </row>
    <row r="7" ht="15.75" customHeight="1">
      <c r="A7" s="234" t="s">
        <v>311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509</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510</v>
      </c>
      <c r="B9" s="50"/>
      <c r="C9" s="50"/>
      <c r="D9" s="50"/>
      <c r="E9" s="50"/>
      <c r="F9" s="50"/>
      <c r="G9" s="50"/>
      <c r="H9" s="50"/>
      <c r="I9" s="50"/>
      <c r="J9" s="50"/>
      <c r="K9" s="50"/>
      <c r="L9" s="50"/>
      <c r="M9" s="50"/>
      <c r="N9" s="50"/>
      <c r="O9" s="50"/>
      <c r="P9" s="50"/>
      <c r="Q9" s="50"/>
      <c r="R9" s="50"/>
      <c r="S9" s="50"/>
      <c r="T9" s="50"/>
      <c r="U9" s="50"/>
      <c r="V9" s="50"/>
      <c r="W9" s="50"/>
      <c r="X9" s="51"/>
    </row>
    <row r="10" ht="15.75" customHeight="1">
      <c r="A10" s="235" t="s">
        <v>511</v>
      </c>
      <c r="B10" s="50"/>
      <c r="C10" s="50"/>
      <c r="D10" s="50"/>
      <c r="E10" s="51"/>
      <c r="F10" s="49"/>
      <c r="G10" s="50"/>
      <c r="H10" s="50"/>
      <c r="I10" s="50"/>
      <c r="J10" s="50"/>
      <c r="K10" s="50"/>
      <c r="L10" s="50"/>
      <c r="M10" s="50"/>
      <c r="N10" s="50"/>
      <c r="O10" s="50"/>
      <c r="P10" s="50"/>
      <c r="Q10" s="53" t="s">
        <v>512</v>
      </c>
      <c r="R10" s="50"/>
      <c r="S10" s="50"/>
      <c r="T10" s="51"/>
      <c r="U10" s="300"/>
      <c r="V10" s="50"/>
      <c r="W10" s="50"/>
      <c r="X10" s="51"/>
    </row>
    <row r="11" ht="15.75" customHeight="1">
      <c r="A11" s="281" t="s">
        <v>419</v>
      </c>
      <c r="B11" s="9"/>
      <c r="C11" s="9"/>
      <c r="D11" s="9"/>
      <c r="E11" s="10"/>
      <c r="F11" s="77"/>
      <c r="G11" s="9"/>
      <c r="H11" s="9"/>
      <c r="I11" s="9"/>
      <c r="J11" s="9"/>
      <c r="K11" s="9"/>
      <c r="L11" s="9"/>
      <c r="M11" s="9"/>
      <c r="N11" s="9"/>
      <c r="O11" s="9"/>
      <c r="P11" s="9"/>
      <c r="Q11" s="53" t="s">
        <v>513</v>
      </c>
      <c r="R11" s="50"/>
      <c r="S11" s="50"/>
      <c r="T11" s="51"/>
      <c r="U11" s="299"/>
      <c r="V11" s="9"/>
      <c r="W11" s="9"/>
      <c r="X11" s="10"/>
    </row>
    <row r="12" ht="15.75" customHeight="1">
      <c r="A12" s="282" t="s">
        <v>514</v>
      </c>
      <c r="B12" s="278"/>
      <c r="C12" s="278"/>
      <c r="D12" s="278"/>
      <c r="E12" s="279"/>
      <c r="F12" s="282"/>
      <c r="G12" s="278"/>
      <c r="H12" s="278"/>
      <c r="I12" s="278"/>
      <c r="J12" s="278"/>
      <c r="K12" s="278"/>
      <c r="L12" s="278"/>
      <c r="M12" s="278"/>
      <c r="N12" s="278"/>
      <c r="O12" s="278"/>
      <c r="P12" s="278"/>
      <c r="Q12" s="156" t="s">
        <v>515</v>
      </c>
      <c r="R12" s="50"/>
      <c r="S12" s="50"/>
      <c r="T12" s="51"/>
      <c r="U12" s="301"/>
      <c r="V12" s="278"/>
      <c r="W12" s="278"/>
      <c r="X12" s="279"/>
    </row>
    <row r="13" ht="15.75" customHeight="1">
      <c r="A13" s="282" t="s">
        <v>512</v>
      </c>
      <c r="B13" s="278"/>
      <c r="C13" s="278"/>
      <c r="D13" s="278"/>
      <c r="E13" s="279"/>
      <c r="F13" s="282"/>
      <c r="G13" s="278"/>
      <c r="H13" s="278"/>
      <c r="I13" s="278"/>
      <c r="J13" s="278"/>
      <c r="K13" s="278"/>
      <c r="L13" s="278"/>
      <c r="M13" s="278"/>
      <c r="N13" s="278"/>
      <c r="O13" s="278"/>
      <c r="P13" s="278"/>
      <c r="Q13" s="278"/>
      <c r="R13" s="278"/>
      <c r="S13" s="278"/>
      <c r="T13" s="278"/>
      <c r="U13" s="278"/>
      <c r="V13" s="278"/>
      <c r="W13" s="278"/>
      <c r="X13" s="279"/>
    </row>
    <row r="14" ht="15.75" customHeight="1">
      <c r="A14" s="283"/>
      <c r="B14" s="81"/>
      <c r="C14" s="81"/>
      <c r="D14" s="81"/>
      <c r="E14" s="81"/>
      <c r="F14" s="81"/>
      <c r="G14" s="81"/>
      <c r="H14" s="81"/>
      <c r="I14" s="81"/>
      <c r="J14" s="81"/>
      <c r="K14" s="81"/>
      <c r="L14" s="81"/>
      <c r="M14" s="81"/>
      <c r="N14" s="81"/>
      <c r="O14" s="81"/>
      <c r="P14" s="81"/>
      <c r="Q14" s="81"/>
      <c r="R14" s="81"/>
      <c r="S14" s="81"/>
      <c r="T14" s="81"/>
      <c r="U14" s="81"/>
      <c r="V14" s="81"/>
      <c r="W14" s="81"/>
      <c r="X14" s="82"/>
    </row>
    <row r="15" ht="15.75" customHeight="1">
      <c r="A15" s="49" t="s">
        <v>516</v>
      </c>
      <c r="B15" s="50"/>
      <c r="C15" s="50"/>
      <c r="D15" s="50"/>
      <c r="E15" s="50"/>
      <c r="F15" s="50"/>
      <c r="G15" s="50"/>
      <c r="H15" s="50"/>
      <c r="I15" s="50"/>
      <c r="J15" s="50"/>
      <c r="K15" s="50"/>
      <c r="L15" s="50"/>
      <c r="M15" s="50"/>
      <c r="N15" s="50"/>
      <c r="O15" s="50"/>
      <c r="P15" s="50"/>
      <c r="Q15" s="50"/>
      <c r="R15" s="50"/>
      <c r="S15" s="50"/>
      <c r="T15" s="50"/>
      <c r="U15" s="50"/>
      <c r="V15" s="50"/>
      <c r="W15" s="50"/>
      <c r="X15" s="51"/>
    </row>
    <row r="16" ht="15.75" customHeight="1">
      <c r="A16" s="271" t="s">
        <v>112</v>
      </c>
      <c r="B16" s="272" t="s">
        <v>517</v>
      </c>
      <c r="C16" s="50"/>
      <c r="D16" s="50"/>
      <c r="E16" s="50"/>
      <c r="F16" s="50"/>
      <c r="G16" s="50"/>
      <c r="H16" s="272" t="s">
        <v>518</v>
      </c>
      <c r="I16" s="50"/>
      <c r="J16" s="50"/>
      <c r="K16" s="50"/>
      <c r="L16" s="50"/>
      <c r="M16" s="50"/>
      <c r="N16" s="50"/>
      <c r="O16" s="51"/>
      <c r="P16" s="284" t="s">
        <v>235</v>
      </c>
      <c r="Q16" s="50"/>
      <c r="R16" s="50"/>
      <c r="S16" s="50"/>
      <c r="T16" s="50"/>
      <c r="U16" s="50"/>
      <c r="V16" s="50"/>
      <c r="W16" s="50"/>
      <c r="X16" s="51"/>
    </row>
    <row r="17" ht="15.75" customHeight="1">
      <c r="A17" s="285">
        <v>1.0</v>
      </c>
      <c r="B17" s="286" t="s">
        <v>519</v>
      </c>
      <c r="C17" s="260"/>
      <c r="D17" s="260"/>
      <c r="E17" s="260"/>
      <c r="F17" s="260"/>
      <c r="G17" s="260"/>
      <c r="H17" s="239"/>
      <c r="I17" s="218"/>
      <c r="J17" s="218"/>
      <c r="K17" s="218"/>
      <c r="L17" s="218"/>
      <c r="M17" s="218"/>
      <c r="N17" s="218"/>
      <c r="O17" s="218"/>
      <c r="P17" s="287"/>
      <c r="Q17" s="260"/>
      <c r="R17" s="260"/>
      <c r="S17" s="260"/>
      <c r="T17" s="260"/>
      <c r="U17" s="260"/>
      <c r="V17" s="260"/>
      <c r="W17" s="260"/>
      <c r="X17" s="263"/>
    </row>
    <row r="18" ht="15.75" customHeight="1">
      <c r="A18" s="242">
        <v>2.0</v>
      </c>
      <c r="B18" s="243" t="s">
        <v>520</v>
      </c>
      <c r="C18" s="245"/>
      <c r="D18" s="245"/>
      <c r="E18" s="245"/>
      <c r="F18" s="245"/>
      <c r="G18" s="245"/>
      <c r="H18" s="244"/>
      <c r="I18" s="245"/>
      <c r="J18" s="245"/>
      <c r="K18" s="245"/>
      <c r="L18" s="245"/>
      <c r="M18" s="245"/>
      <c r="N18" s="245"/>
      <c r="O18" s="245"/>
      <c r="P18" s="244"/>
      <c r="Q18" s="245"/>
      <c r="R18" s="245"/>
      <c r="S18" s="245"/>
      <c r="T18" s="245"/>
      <c r="U18" s="245"/>
      <c r="V18" s="245"/>
      <c r="W18" s="245"/>
      <c r="X18" s="247"/>
    </row>
    <row r="19" ht="15.75" customHeight="1">
      <c r="A19" s="242">
        <v>3.0</v>
      </c>
      <c r="B19" s="243" t="s">
        <v>521</v>
      </c>
      <c r="C19" s="245"/>
      <c r="D19" s="245"/>
      <c r="E19" s="245"/>
      <c r="F19" s="245"/>
      <c r="G19" s="245"/>
      <c r="H19" s="244"/>
      <c r="I19" s="245"/>
      <c r="J19" s="245"/>
      <c r="K19" s="245"/>
      <c r="L19" s="245"/>
      <c r="M19" s="245"/>
      <c r="N19" s="245"/>
      <c r="O19" s="245"/>
      <c r="P19" s="244"/>
      <c r="Q19" s="245"/>
      <c r="R19" s="245"/>
      <c r="S19" s="245"/>
      <c r="T19" s="245"/>
      <c r="U19" s="245"/>
      <c r="V19" s="245"/>
      <c r="W19" s="245"/>
      <c r="X19" s="247"/>
    </row>
    <row r="20" ht="15.75" customHeight="1">
      <c r="A20" s="242"/>
      <c r="B20" s="243"/>
      <c r="C20" s="245"/>
      <c r="D20" s="245"/>
      <c r="E20" s="245"/>
      <c r="F20" s="245"/>
      <c r="G20" s="245"/>
      <c r="H20" s="244"/>
      <c r="I20" s="245"/>
      <c r="J20" s="245"/>
      <c r="K20" s="245"/>
      <c r="L20" s="245"/>
      <c r="M20" s="245"/>
      <c r="N20" s="245"/>
      <c r="O20" s="245"/>
      <c r="P20" s="244"/>
      <c r="Q20" s="245"/>
      <c r="R20" s="245"/>
      <c r="S20" s="245"/>
      <c r="T20" s="245"/>
      <c r="U20" s="245"/>
      <c r="V20" s="245"/>
      <c r="W20" s="245"/>
      <c r="X20" s="247"/>
    </row>
    <row r="21" ht="15.75" customHeight="1">
      <c r="A21" s="248"/>
      <c r="B21" s="243"/>
      <c r="C21" s="245"/>
      <c r="D21" s="245"/>
      <c r="E21" s="245"/>
      <c r="F21" s="245"/>
      <c r="G21" s="245"/>
      <c r="H21" s="244"/>
      <c r="I21" s="245"/>
      <c r="J21" s="245"/>
      <c r="K21" s="245"/>
      <c r="L21" s="245"/>
      <c r="M21" s="245"/>
      <c r="N21" s="245"/>
      <c r="O21" s="245"/>
      <c r="P21" s="244"/>
      <c r="Q21" s="245"/>
      <c r="R21" s="245"/>
      <c r="S21" s="245"/>
      <c r="T21" s="245"/>
      <c r="U21" s="245"/>
      <c r="V21" s="245"/>
      <c r="W21" s="245"/>
      <c r="X21" s="247"/>
    </row>
    <row r="22" ht="15.75" customHeight="1">
      <c r="A22" s="242"/>
      <c r="B22" s="243"/>
      <c r="C22" s="245"/>
      <c r="D22" s="245"/>
      <c r="E22" s="245"/>
      <c r="F22" s="245"/>
      <c r="G22" s="245"/>
      <c r="H22" s="244"/>
      <c r="I22" s="245"/>
      <c r="J22" s="245"/>
      <c r="K22" s="245"/>
      <c r="L22" s="245"/>
      <c r="M22" s="245"/>
      <c r="N22" s="245"/>
      <c r="O22" s="245"/>
      <c r="P22" s="244"/>
      <c r="Q22" s="245"/>
      <c r="R22" s="245"/>
      <c r="S22" s="245"/>
      <c r="T22" s="245"/>
      <c r="U22" s="245"/>
      <c r="V22" s="245"/>
      <c r="W22" s="245"/>
      <c r="X22" s="247"/>
    </row>
    <row r="23" ht="15.75" customHeight="1">
      <c r="A23" s="242"/>
      <c r="B23" s="243"/>
      <c r="C23" s="245"/>
      <c r="D23" s="245"/>
      <c r="E23" s="245"/>
      <c r="F23" s="245"/>
      <c r="G23" s="245"/>
      <c r="H23" s="244"/>
      <c r="I23" s="245"/>
      <c r="J23" s="245"/>
      <c r="K23" s="245"/>
      <c r="L23" s="245"/>
      <c r="M23" s="245"/>
      <c r="N23" s="245"/>
      <c r="O23" s="245"/>
      <c r="P23" s="244"/>
      <c r="Q23" s="245"/>
      <c r="R23" s="245"/>
      <c r="S23" s="245"/>
      <c r="T23" s="245"/>
      <c r="U23" s="245"/>
      <c r="V23" s="245"/>
      <c r="W23" s="245"/>
      <c r="X23" s="247"/>
    </row>
    <row r="24" ht="15.75" customHeight="1">
      <c r="A24" s="242"/>
      <c r="B24" s="243"/>
      <c r="C24" s="245"/>
      <c r="D24" s="245"/>
      <c r="E24" s="245"/>
      <c r="F24" s="245"/>
      <c r="G24" s="245"/>
      <c r="H24" s="244"/>
      <c r="I24" s="245"/>
      <c r="J24" s="245"/>
      <c r="K24" s="245"/>
      <c r="L24" s="245"/>
      <c r="M24" s="245"/>
      <c r="N24" s="245"/>
      <c r="O24" s="245"/>
      <c r="P24" s="244"/>
      <c r="Q24" s="245"/>
      <c r="R24" s="245"/>
      <c r="S24" s="245"/>
      <c r="T24" s="245"/>
      <c r="U24" s="245"/>
      <c r="V24" s="245"/>
      <c r="W24" s="245"/>
      <c r="X24" s="247"/>
    </row>
    <row r="25" ht="15.75" customHeight="1">
      <c r="A25" s="248"/>
      <c r="B25" s="243"/>
      <c r="C25" s="245"/>
      <c r="D25" s="245"/>
      <c r="E25" s="245"/>
      <c r="F25" s="245"/>
      <c r="G25" s="245"/>
      <c r="H25" s="244"/>
      <c r="I25" s="245"/>
      <c r="J25" s="245"/>
      <c r="K25" s="245"/>
      <c r="L25" s="245"/>
      <c r="M25" s="245"/>
      <c r="N25" s="245"/>
      <c r="O25" s="245"/>
      <c r="P25" s="244"/>
      <c r="Q25" s="245"/>
      <c r="R25" s="245"/>
      <c r="S25" s="245"/>
      <c r="T25" s="245"/>
      <c r="U25" s="245"/>
      <c r="V25" s="245"/>
      <c r="W25" s="245"/>
      <c r="X25" s="247"/>
    </row>
    <row r="26" ht="15.75" customHeight="1">
      <c r="A26" s="242"/>
      <c r="B26" s="243"/>
      <c r="C26" s="245"/>
      <c r="D26" s="245"/>
      <c r="E26" s="245"/>
      <c r="F26" s="245"/>
      <c r="G26" s="245"/>
      <c r="H26" s="244"/>
      <c r="I26" s="245"/>
      <c r="J26" s="245"/>
      <c r="K26" s="245"/>
      <c r="L26" s="245"/>
      <c r="M26" s="245"/>
      <c r="N26" s="245"/>
      <c r="O26" s="245"/>
      <c r="P26" s="244"/>
      <c r="Q26" s="245"/>
      <c r="R26" s="245"/>
      <c r="S26" s="245"/>
      <c r="T26" s="245"/>
      <c r="U26" s="245"/>
      <c r="V26" s="245"/>
      <c r="W26" s="245"/>
      <c r="X26" s="247"/>
    </row>
    <row r="27" ht="15.75" customHeight="1">
      <c r="A27" s="242"/>
      <c r="B27" s="243"/>
      <c r="C27" s="245"/>
      <c r="D27" s="245"/>
      <c r="E27" s="245"/>
      <c r="F27" s="245"/>
      <c r="G27" s="245"/>
      <c r="H27" s="244"/>
      <c r="I27" s="245"/>
      <c r="J27" s="245"/>
      <c r="K27" s="245"/>
      <c r="L27" s="245"/>
      <c r="M27" s="245"/>
      <c r="N27" s="245"/>
      <c r="O27" s="245"/>
      <c r="P27" s="244"/>
      <c r="Q27" s="245"/>
      <c r="R27" s="245"/>
      <c r="S27" s="245"/>
      <c r="T27" s="245"/>
      <c r="U27" s="245"/>
      <c r="V27" s="245"/>
      <c r="W27" s="245"/>
      <c r="X27" s="247"/>
    </row>
    <row r="28" ht="15.75" customHeight="1">
      <c r="A28" s="242"/>
      <c r="B28" s="243"/>
      <c r="C28" s="245"/>
      <c r="D28" s="245"/>
      <c r="E28" s="245"/>
      <c r="F28" s="245"/>
      <c r="G28" s="245"/>
      <c r="H28" s="244"/>
      <c r="I28" s="245"/>
      <c r="J28" s="245"/>
      <c r="K28" s="245"/>
      <c r="L28" s="245"/>
      <c r="M28" s="245"/>
      <c r="N28" s="245"/>
      <c r="O28" s="245"/>
      <c r="P28" s="244"/>
      <c r="Q28" s="245"/>
      <c r="R28" s="245"/>
      <c r="S28" s="245"/>
      <c r="T28" s="245"/>
      <c r="U28" s="245"/>
      <c r="V28" s="245"/>
      <c r="W28" s="245"/>
      <c r="X28" s="247"/>
    </row>
    <row r="29" ht="15.75" customHeight="1">
      <c r="A29" s="288"/>
      <c r="B29" s="289"/>
      <c r="C29" s="256"/>
      <c r="D29" s="256"/>
      <c r="E29" s="256"/>
      <c r="F29" s="256"/>
      <c r="G29" s="256"/>
      <c r="H29" s="255"/>
      <c r="I29" s="256"/>
      <c r="J29" s="256"/>
      <c r="K29" s="256"/>
      <c r="L29" s="256"/>
      <c r="M29" s="256"/>
      <c r="N29" s="256"/>
      <c r="O29" s="256"/>
      <c r="P29" s="255"/>
      <c r="Q29" s="256"/>
      <c r="R29" s="256"/>
      <c r="S29" s="256"/>
      <c r="T29" s="256"/>
      <c r="U29" s="256"/>
      <c r="V29" s="256"/>
      <c r="W29" s="256"/>
      <c r="X29" s="258"/>
    </row>
    <row r="30" ht="15.75" customHeight="1">
      <c r="A30" s="158" t="s">
        <v>522</v>
      </c>
      <c r="B30" s="81"/>
      <c r="C30" s="81"/>
      <c r="D30" s="81"/>
      <c r="E30" s="81"/>
      <c r="F30" s="81"/>
      <c r="G30" s="81"/>
      <c r="H30" s="81"/>
      <c r="I30" s="81"/>
      <c r="J30" s="81"/>
      <c r="K30" s="81"/>
      <c r="L30" s="81"/>
      <c r="M30" s="81"/>
      <c r="N30" s="81"/>
      <c r="O30" s="81"/>
      <c r="P30" s="81"/>
      <c r="Q30" s="81"/>
      <c r="R30" s="81"/>
      <c r="S30" s="81"/>
      <c r="T30" s="81"/>
      <c r="U30" s="81"/>
      <c r="V30" s="81"/>
      <c r="W30" s="81"/>
      <c r="X30" s="82"/>
    </row>
    <row r="31" ht="15.75" customHeight="1">
      <c r="A31" s="76" t="s">
        <v>112</v>
      </c>
      <c r="B31" s="76" t="s">
        <v>523</v>
      </c>
      <c r="C31" s="50"/>
      <c r="D31" s="50"/>
      <c r="E31" s="50"/>
      <c r="F31" s="50"/>
      <c r="G31" s="50"/>
      <c r="H31" s="76" t="s">
        <v>524</v>
      </c>
      <c r="I31" s="50"/>
      <c r="J31" s="50"/>
      <c r="K31" s="50"/>
      <c r="L31" s="50"/>
      <c r="M31" s="76" t="s">
        <v>525</v>
      </c>
      <c r="N31" s="50"/>
      <c r="O31" s="50"/>
      <c r="P31" s="50"/>
      <c r="Q31" s="50"/>
      <c r="R31" s="50"/>
      <c r="S31" s="50"/>
      <c r="T31" s="50"/>
      <c r="U31" s="51"/>
      <c r="V31" s="76" t="s">
        <v>235</v>
      </c>
      <c r="W31" s="50"/>
      <c r="X31" s="51"/>
    </row>
    <row r="32" ht="15.75" customHeight="1">
      <c r="A32" s="259">
        <v>1.0</v>
      </c>
      <c r="B32" s="262" t="s">
        <v>526</v>
      </c>
      <c r="C32" s="260"/>
      <c r="D32" s="260"/>
      <c r="E32" s="260"/>
      <c r="F32" s="260"/>
      <c r="G32" s="290"/>
      <c r="H32" s="287" t="s">
        <v>527</v>
      </c>
      <c r="I32" s="260"/>
      <c r="J32" s="260"/>
      <c r="K32" s="260"/>
      <c r="L32" s="260"/>
      <c r="M32" s="287" t="s">
        <v>528</v>
      </c>
      <c r="N32" s="260"/>
      <c r="O32" s="260"/>
      <c r="P32" s="260"/>
      <c r="Q32" s="260"/>
      <c r="R32" s="260"/>
      <c r="S32" s="260"/>
      <c r="T32" s="260"/>
      <c r="U32" s="261"/>
      <c r="V32" s="286"/>
      <c r="W32" s="260"/>
      <c r="X32" s="263"/>
    </row>
    <row r="33" ht="15.75" customHeight="1">
      <c r="A33" s="264">
        <v>2.0</v>
      </c>
      <c r="B33" s="266" t="s">
        <v>529</v>
      </c>
      <c r="C33" s="245"/>
      <c r="D33" s="245"/>
      <c r="E33" s="245"/>
      <c r="F33" s="245"/>
      <c r="G33" s="246"/>
      <c r="H33" s="244" t="s">
        <v>530</v>
      </c>
      <c r="I33" s="245"/>
      <c r="J33" s="245"/>
      <c r="K33" s="245"/>
      <c r="L33" s="245"/>
      <c r="M33" s="244" t="s">
        <v>531</v>
      </c>
      <c r="N33" s="245"/>
      <c r="O33" s="245"/>
      <c r="P33" s="245"/>
      <c r="Q33" s="245"/>
      <c r="R33" s="245"/>
      <c r="S33" s="245"/>
      <c r="T33" s="245"/>
      <c r="U33" s="265"/>
      <c r="V33" s="243"/>
      <c r="W33" s="245"/>
      <c r="X33" s="247"/>
    </row>
    <row r="34" ht="15.75" customHeight="1">
      <c r="A34" s="264">
        <v>3.0</v>
      </c>
      <c r="B34" s="266" t="s">
        <v>532</v>
      </c>
      <c r="C34" s="245"/>
      <c r="D34" s="245"/>
      <c r="E34" s="245"/>
      <c r="F34" s="245"/>
      <c r="G34" s="246"/>
      <c r="H34" s="244" t="s">
        <v>375</v>
      </c>
      <c r="I34" s="245"/>
      <c r="J34" s="245"/>
      <c r="K34" s="245"/>
      <c r="L34" s="245"/>
      <c r="M34" s="244" t="s">
        <v>533</v>
      </c>
      <c r="N34" s="245"/>
      <c r="O34" s="245"/>
      <c r="P34" s="245"/>
      <c r="Q34" s="245"/>
      <c r="R34" s="245"/>
      <c r="S34" s="245"/>
      <c r="T34" s="245"/>
      <c r="U34" s="265"/>
      <c r="V34" s="243"/>
      <c r="W34" s="245"/>
      <c r="X34" s="247"/>
    </row>
    <row r="35" ht="15.75" customHeight="1">
      <c r="A35" s="264">
        <v>4.0</v>
      </c>
      <c r="B35" s="266" t="s">
        <v>534</v>
      </c>
      <c r="C35" s="245"/>
      <c r="D35" s="245"/>
      <c r="E35" s="245"/>
      <c r="F35" s="245"/>
      <c r="G35" s="246"/>
      <c r="H35" s="244" t="s">
        <v>535</v>
      </c>
      <c r="I35" s="245"/>
      <c r="J35" s="245"/>
      <c r="K35" s="245"/>
      <c r="L35" s="245"/>
      <c r="M35" s="244" t="s">
        <v>536</v>
      </c>
      <c r="N35" s="245"/>
      <c r="O35" s="245"/>
      <c r="P35" s="245"/>
      <c r="Q35" s="245"/>
      <c r="R35" s="245"/>
      <c r="S35" s="245"/>
      <c r="T35" s="245"/>
      <c r="U35" s="265"/>
      <c r="V35" s="243"/>
      <c r="W35" s="245"/>
      <c r="X35" s="247"/>
    </row>
    <row r="36" ht="15.75" customHeight="1">
      <c r="A36" s="264">
        <v>5.0</v>
      </c>
      <c r="B36" s="266"/>
      <c r="C36" s="245"/>
      <c r="D36" s="245"/>
      <c r="E36" s="245"/>
      <c r="F36" s="245"/>
      <c r="G36" s="246"/>
      <c r="H36" s="244"/>
      <c r="I36" s="245"/>
      <c r="J36" s="245"/>
      <c r="K36" s="245"/>
      <c r="L36" s="245"/>
      <c r="M36" s="244"/>
      <c r="N36" s="245"/>
      <c r="O36" s="245"/>
      <c r="P36" s="245"/>
      <c r="Q36" s="245"/>
      <c r="R36" s="245"/>
      <c r="S36" s="245"/>
      <c r="T36" s="245"/>
      <c r="U36" s="265"/>
      <c r="V36" s="243"/>
      <c r="W36" s="245"/>
      <c r="X36" s="247"/>
    </row>
    <row r="37" ht="15.75" customHeight="1">
      <c r="A37" s="264">
        <v>6.0</v>
      </c>
      <c r="B37" s="266"/>
      <c r="C37" s="245"/>
      <c r="D37" s="245"/>
      <c r="E37" s="245"/>
      <c r="F37" s="245"/>
      <c r="G37" s="246"/>
      <c r="H37" s="244"/>
      <c r="I37" s="245"/>
      <c r="J37" s="245"/>
      <c r="K37" s="245"/>
      <c r="L37" s="245"/>
      <c r="M37" s="244"/>
      <c r="N37" s="245"/>
      <c r="O37" s="245"/>
      <c r="P37" s="245"/>
      <c r="Q37" s="245"/>
      <c r="R37" s="245"/>
      <c r="S37" s="245"/>
      <c r="T37" s="245"/>
      <c r="U37" s="265"/>
      <c r="V37" s="243"/>
      <c r="W37" s="245"/>
      <c r="X37" s="247"/>
    </row>
    <row r="38" ht="15.75" customHeight="1">
      <c r="A38" s="264"/>
      <c r="B38" s="266"/>
      <c r="C38" s="245"/>
      <c r="D38" s="245"/>
      <c r="E38" s="245"/>
      <c r="F38" s="245"/>
      <c r="G38" s="246"/>
      <c r="H38" s="244"/>
      <c r="I38" s="245"/>
      <c r="J38" s="245"/>
      <c r="K38" s="245"/>
      <c r="L38" s="245"/>
      <c r="M38" s="244"/>
      <c r="N38" s="245"/>
      <c r="O38" s="245"/>
      <c r="P38" s="245"/>
      <c r="Q38" s="245"/>
      <c r="R38" s="245"/>
      <c r="S38" s="245"/>
      <c r="T38" s="245"/>
      <c r="U38" s="265"/>
      <c r="V38" s="243"/>
      <c r="W38" s="245"/>
      <c r="X38" s="247"/>
    </row>
    <row r="39" ht="15.75" customHeight="1">
      <c r="A39" s="264"/>
      <c r="B39" s="266"/>
      <c r="C39" s="245"/>
      <c r="D39" s="245"/>
      <c r="E39" s="245"/>
      <c r="F39" s="245"/>
      <c r="G39" s="246"/>
      <c r="H39" s="244"/>
      <c r="I39" s="245"/>
      <c r="J39" s="245"/>
      <c r="K39" s="245"/>
      <c r="L39" s="245"/>
      <c r="M39" s="244"/>
      <c r="N39" s="245"/>
      <c r="O39" s="245"/>
      <c r="P39" s="245"/>
      <c r="Q39" s="245"/>
      <c r="R39" s="245"/>
      <c r="S39" s="245"/>
      <c r="T39" s="245"/>
      <c r="U39" s="265"/>
      <c r="V39" s="243"/>
      <c r="W39" s="245"/>
      <c r="X39" s="247"/>
    </row>
    <row r="40" ht="15.75" customHeight="1">
      <c r="A40" s="264"/>
      <c r="B40" s="266"/>
      <c r="C40" s="245"/>
      <c r="D40" s="245"/>
      <c r="E40" s="245"/>
      <c r="F40" s="245"/>
      <c r="G40" s="246"/>
      <c r="H40" s="244"/>
      <c r="I40" s="245"/>
      <c r="J40" s="245"/>
      <c r="K40" s="245"/>
      <c r="L40" s="245"/>
      <c r="M40" s="244"/>
      <c r="N40" s="245"/>
      <c r="O40" s="245"/>
      <c r="P40" s="245"/>
      <c r="Q40" s="245"/>
      <c r="R40" s="245"/>
      <c r="S40" s="245"/>
      <c r="T40" s="245"/>
      <c r="U40" s="265"/>
      <c r="V40" s="243"/>
      <c r="W40" s="245"/>
      <c r="X40" s="247"/>
    </row>
    <row r="41" ht="15.75" customHeight="1">
      <c r="A41" s="277" t="s">
        <v>537</v>
      </c>
      <c r="B41" s="278"/>
      <c r="C41" s="278"/>
      <c r="D41" s="278"/>
      <c r="E41" s="278"/>
      <c r="F41" s="278"/>
      <c r="G41" s="278"/>
      <c r="H41" s="278"/>
      <c r="I41" s="278"/>
      <c r="J41" s="278"/>
      <c r="K41" s="278"/>
      <c r="L41" s="278"/>
      <c r="M41" s="278"/>
      <c r="N41" s="278"/>
      <c r="O41" s="278"/>
      <c r="P41" s="278"/>
      <c r="Q41" s="278"/>
      <c r="R41" s="278"/>
      <c r="S41" s="278"/>
      <c r="T41" s="278"/>
      <c r="U41" s="278"/>
      <c r="V41" s="278"/>
      <c r="W41" s="278"/>
      <c r="X41" s="279"/>
    </row>
    <row r="42" ht="15.75" customHeight="1">
      <c r="A42" s="291" t="s">
        <v>538</v>
      </c>
      <c r="C42" s="35"/>
      <c r="D42" s="292"/>
      <c r="P42" s="35"/>
      <c r="Q42" s="293" t="s">
        <v>449</v>
      </c>
      <c r="S42" s="35"/>
      <c r="T42" s="292"/>
      <c r="X42" s="80"/>
    </row>
    <row r="43" ht="15.75" customHeight="1">
      <c r="A43" s="144"/>
      <c r="B43" s="18"/>
      <c r="C43" s="33"/>
      <c r="D43" s="17"/>
      <c r="E43" s="18"/>
      <c r="F43" s="18"/>
      <c r="G43" s="18"/>
      <c r="H43" s="18"/>
      <c r="I43" s="18"/>
      <c r="J43" s="18"/>
      <c r="K43" s="18"/>
      <c r="L43" s="18"/>
      <c r="M43" s="18"/>
      <c r="N43" s="18"/>
      <c r="O43" s="18"/>
      <c r="P43" s="33"/>
      <c r="Q43" s="17"/>
      <c r="R43" s="18"/>
      <c r="S43" s="33"/>
      <c r="T43" s="17"/>
      <c r="U43" s="18"/>
      <c r="V43" s="18"/>
      <c r="W43" s="18"/>
      <c r="X43" s="19"/>
    </row>
    <row r="44" ht="15.75" customHeight="1">
      <c r="A44" s="294" t="s">
        <v>450</v>
      </c>
      <c r="B44" s="86"/>
      <c r="C44" s="27"/>
      <c r="D44" s="295"/>
      <c r="E44" s="86"/>
      <c r="F44" s="86"/>
      <c r="G44" s="86"/>
      <c r="H44" s="86"/>
      <c r="I44" s="86"/>
      <c r="J44" s="86"/>
      <c r="K44" s="86"/>
      <c r="L44" s="86"/>
      <c r="M44" s="86"/>
      <c r="N44" s="86"/>
      <c r="O44" s="86"/>
      <c r="P44" s="86"/>
      <c r="Q44" s="86"/>
      <c r="R44" s="86"/>
      <c r="S44" s="86"/>
      <c r="T44" s="86"/>
      <c r="U44" s="86"/>
      <c r="V44" s="86"/>
      <c r="W44" s="86"/>
      <c r="X44" s="87"/>
    </row>
    <row r="45" ht="15.75" customHeight="1">
      <c r="A45" s="144"/>
      <c r="B45" s="18"/>
      <c r="C45" s="33"/>
      <c r="D45" s="17"/>
      <c r="E45" s="18"/>
      <c r="F45" s="18"/>
      <c r="G45" s="18"/>
      <c r="H45" s="18"/>
      <c r="I45" s="18"/>
      <c r="J45" s="18"/>
      <c r="K45" s="18"/>
      <c r="L45" s="18"/>
      <c r="M45" s="18"/>
      <c r="N45" s="18"/>
      <c r="O45" s="18"/>
      <c r="P45" s="18"/>
      <c r="Q45" s="18"/>
      <c r="R45" s="18"/>
      <c r="S45" s="18"/>
      <c r="T45" s="18"/>
      <c r="U45" s="18"/>
      <c r="V45" s="18"/>
      <c r="W45" s="18"/>
      <c r="X45" s="19"/>
    </row>
    <row r="46" ht="15.75" customHeight="1">
      <c r="A46" s="294" t="s">
        <v>539</v>
      </c>
      <c r="B46" s="86"/>
      <c r="C46" s="27"/>
      <c r="D46" s="295"/>
      <c r="E46" s="86"/>
      <c r="F46" s="86"/>
      <c r="G46" s="86"/>
      <c r="H46" s="86"/>
      <c r="I46" s="86"/>
      <c r="J46" s="86"/>
      <c r="K46" s="86"/>
      <c r="L46" s="86"/>
      <c r="M46" s="86"/>
      <c r="N46" s="86"/>
      <c r="O46" s="86"/>
      <c r="P46" s="86"/>
      <c r="Q46" s="86"/>
      <c r="R46" s="86"/>
      <c r="S46" s="86"/>
      <c r="T46" s="86"/>
      <c r="U46" s="86"/>
      <c r="V46" s="86"/>
      <c r="W46" s="86"/>
      <c r="X46" s="87"/>
    </row>
    <row r="47" ht="15.75" customHeight="1">
      <c r="A47" s="39"/>
      <c r="B47" s="81"/>
      <c r="C47" s="40"/>
      <c r="D47" s="41"/>
      <c r="E47" s="81"/>
      <c r="F47" s="81"/>
      <c r="G47" s="81"/>
      <c r="H47" s="81"/>
      <c r="I47" s="81"/>
      <c r="J47" s="81"/>
      <c r="K47" s="81"/>
      <c r="L47" s="81"/>
      <c r="M47" s="81"/>
      <c r="N47" s="81"/>
      <c r="O47" s="81"/>
      <c r="P47" s="81"/>
      <c r="Q47" s="81"/>
      <c r="R47" s="81"/>
      <c r="S47" s="81"/>
      <c r="T47" s="81"/>
      <c r="U47" s="81"/>
      <c r="V47" s="81"/>
      <c r="W47" s="81"/>
      <c r="X47" s="8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8">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E10"/>
    <mergeCell ref="F10:P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2:E12"/>
    <mergeCell ref="A13:E13"/>
    <mergeCell ref="A11:E11"/>
    <mergeCell ref="F11:P11"/>
    <mergeCell ref="Q11:T11"/>
    <mergeCell ref="U11:X11"/>
    <mergeCell ref="F12:P12"/>
    <mergeCell ref="Q12:T12"/>
    <mergeCell ref="U12:X12"/>
    <mergeCell ref="H17:O17"/>
    <mergeCell ref="P17:X17"/>
    <mergeCell ref="F13:X13"/>
    <mergeCell ref="A14:X14"/>
    <mergeCell ref="A15:X15"/>
    <mergeCell ref="B16:G16"/>
    <mergeCell ref="H16:O16"/>
    <mergeCell ref="P16:X16"/>
    <mergeCell ref="B17:G17"/>
    <mergeCell ref="H20:O20"/>
    <mergeCell ref="P20:X20"/>
    <mergeCell ref="B18:G18"/>
    <mergeCell ref="H18:O18"/>
    <mergeCell ref="P18:X18"/>
    <mergeCell ref="B19:G19"/>
    <mergeCell ref="H19:O19"/>
    <mergeCell ref="P19:X19"/>
    <mergeCell ref="B20:G20"/>
    <mergeCell ref="H23:O23"/>
    <mergeCell ref="P23:X23"/>
    <mergeCell ref="B21:G21"/>
    <mergeCell ref="H21:O21"/>
    <mergeCell ref="P21:X21"/>
    <mergeCell ref="B22:G22"/>
    <mergeCell ref="H22:O22"/>
    <mergeCell ref="P22:X22"/>
    <mergeCell ref="B23:G23"/>
    <mergeCell ref="B34:G34"/>
    <mergeCell ref="H34:L34"/>
    <mergeCell ref="M34:U34"/>
    <mergeCell ref="V34:X34"/>
    <mergeCell ref="B35:G35"/>
    <mergeCell ref="H35:L35"/>
    <mergeCell ref="M35:U35"/>
    <mergeCell ref="V35:X35"/>
    <mergeCell ref="H36:L36"/>
    <mergeCell ref="M36:U36"/>
    <mergeCell ref="V36:X36"/>
    <mergeCell ref="M38:U38"/>
    <mergeCell ref="V38:X38"/>
    <mergeCell ref="B36:G36"/>
    <mergeCell ref="B37:G37"/>
    <mergeCell ref="H37:L37"/>
    <mergeCell ref="M37:U37"/>
    <mergeCell ref="V37:X37"/>
    <mergeCell ref="B38:G38"/>
    <mergeCell ref="H38:L38"/>
    <mergeCell ref="B39:G39"/>
    <mergeCell ref="H39:L39"/>
    <mergeCell ref="M39:U39"/>
    <mergeCell ref="V39:X39"/>
    <mergeCell ref="B40:G40"/>
    <mergeCell ref="H40:L40"/>
    <mergeCell ref="V40:X40"/>
    <mergeCell ref="M40:U40"/>
    <mergeCell ref="A41:X41"/>
    <mergeCell ref="A42:C43"/>
    <mergeCell ref="D42:P43"/>
    <mergeCell ref="Q42:S43"/>
    <mergeCell ref="T42:X43"/>
    <mergeCell ref="D44:X45"/>
    <mergeCell ref="H26:O26"/>
    <mergeCell ref="P26:X26"/>
    <mergeCell ref="B24:G24"/>
    <mergeCell ref="H24:O24"/>
    <mergeCell ref="P24:X24"/>
    <mergeCell ref="B25:G25"/>
    <mergeCell ref="H25:O25"/>
    <mergeCell ref="P25:X25"/>
    <mergeCell ref="B26:G26"/>
    <mergeCell ref="H29:O29"/>
    <mergeCell ref="P29:X29"/>
    <mergeCell ref="M31:U31"/>
    <mergeCell ref="V31:X31"/>
    <mergeCell ref="M32:U32"/>
    <mergeCell ref="V32:X32"/>
    <mergeCell ref="M33:U33"/>
    <mergeCell ref="V33:X33"/>
    <mergeCell ref="B27:G27"/>
    <mergeCell ref="H27:O27"/>
    <mergeCell ref="P27:X27"/>
    <mergeCell ref="B28:G28"/>
    <mergeCell ref="H28:O28"/>
    <mergeCell ref="P28:X28"/>
    <mergeCell ref="A30:X30"/>
    <mergeCell ref="B29:G29"/>
    <mergeCell ref="B31:G31"/>
    <mergeCell ref="H31:L31"/>
    <mergeCell ref="B32:G32"/>
    <mergeCell ref="H32:L32"/>
    <mergeCell ref="B33:G33"/>
    <mergeCell ref="H33:L33"/>
    <mergeCell ref="A44:C45"/>
    <mergeCell ref="A46:C47"/>
    <mergeCell ref="D46:X4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206" t="s">
        <v>0</v>
      </c>
      <c r="B1" s="207"/>
      <c r="C1" s="208"/>
      <c r="D1" s="207"/>
      <c r="E1" s="209" t="s">
        <v>1</v>
      </c>
      <c r="F1" s="207"/>
      <c r="G1" s="208" t="s">
        <v>540</v>
      </c>
      <c r="H1" s="207"/>
      <c r="I1" s="209" t="s">
        <v>2</v>
      </c>
      <c r="J1" s="207"/>
      <c r="K1" s="210"/>
      <c r="L1" s="207"/>
      <c r="M1" s="211" t="s">
        <v>3</v>
      </c>
      <c r="N1" s="207"/>
      <c r="O1" s="212">
        <v>4.0</v>
      </c>
      <c r="P1" s="207"/>
      <c r="Q1" s="209" t="s">
        <v>4</v>
      </c>
      <c r="R1" s="207"/>
      <c r="S1" s="208" t="s">
        <v>105</v>
      </c>
      <c r="T1" s="207"/>
      <c r="U1" s="213"/>
      <c r="V1" s="214"/>
      <c r="W1" s="214"/>
      <c r="X1" s="215"/>
    </row>
    <row r="2" ht="15.75" customHeight="1">
      <c r="A2" s="216" t="s">
        <v>5</v>
      </c>
      <c r="B2" s="12"/>
      <c r="C2" s="13"/>
      <c r="D2" s="12"/>
      <c r="E2" s="14" t="s">
        <v>6</v>
      </c>
      <c r="F2" s="12"/>
      <c r="G2" s="13"/>
      <c r="H2" s="12"/>
      <c r="I2" s="14" t="s">
        <v>7</v>
      </c>
      <c r="J2" s="12"/>
      <c r="K2" s="15"/>
      <c r="L2" s="12"/>
      <c r="M2" s="16" t="s">
        <v>8</v>
      </c>
      <c r="N2" s="12"/>
      <c r="O2" s="13" t="s">
        <v>9</v>
      </c>
      <c r="P2" s="12"/>
      <c r="Q2" s="14" t="s">
        <v>10</v>
      </c>
      <c r="R2" s="12"/>
      <c r="S2" s="13" t="s">
        <v>69</v>
      </c>
      <c r="T2" s="12"/>
      <c r="U2" s="217"/>
      <c r="V2" s="218"/>
      <c r="W2" s="218"/>
      <c r="X2" s="219"/>
    </row>
    <row r="3" ht="15.75" customHeight="1">
      <c r="A3" s="216" t="s">
        <v>11</v>
      </c>
      <c r="B3" s="12"/>
      <c r="C3" s="13"/>
      <c r="D3" s="12"/>
      <c r="E3" s="14" t="s">
        <v>12</v>
      </c>
      <c r="F3" s="12"/>
      <c r="G3" s="13" t="s">
        <v>135</v>
      </c>
      <c r="H3" s="12"/>
      <c r="I3" s="14" t="s">
        <v>13</v>
      </c>
      <c r="J3" s="12"/>
      <c r="K3" s="20"/>
      <c r="L3" s="12"/>
      <c r="M3" s="16" t="s">
        <v>14</v>
      </c>
      <c r="N3" s="12"/>
      <c r="O3" s="13" t="s">
        <v>15</v>
      </c>
      <c r="P3" s="12"/>
      <c r="Q3" s="14" t="s">
        <v>16</v>
      </c>
      <c r="R3" s="12"/>
      <c r="S3" s="13" t="s">
        <v>508</v>
      </c>
      <c r="T3" s="12"/>
      <c r="U3" s="220" t="s">
        <v>17</v>
      </c>
      <c r="V3" s="18"/>
      <c r="W3" s="18"/>
      <c r="X3" s="221"/>
    </row>
    <row r="4" ht="15.75" customHeight="1">
      <c r="A4" s="216" t="s">
        <v>18</v>
      </c>
      <c r="B4" s="12"/>
      <c r="C4" s="13" t="s">
        <v>107</v>
      </c>
      <c r="D4" s="12"/>
      <c r="E4" s="14" t="s">
        <v>20</v>
      </c>
      <c r="F4" s="12"/>
      <c r="G4" s="13" t="s">
        <v>541</v>
      </c>
      <c r="H4" s="12"/>
      <c r="I4" s="14" t="s">
        <v>21</v>
      </c>
      <c r="J4" s="12"/>
      <c r="K4" s="24"/>
      <c r="L4" s="25"/>
      <c r="M4" s="26" t="s">
        <v>22</v>
      </c>
      <c r="N4" s="27"/>
      <c r="O4" s="28">
        <v>0.0</v>
      </c>
      <c r="P4" s="27"/>
      <c r="Q4" s="14" t="s">
        <v>23</v>
      </c>
      <c r="R4" s="12"/>
      <c r="S4" s="20"/>
      <c r="T4" s="12"/>
      <c r="U4" s="29" t="s">
        <v>24</v>
      </c>
      <c r="V4" s="22"/>
      <c r="W4" s="22"/>
      <c r="X4" s="222"/>
    </row>
    <row r="5" ht="15.75" customHeight="1">
      <c r="A5" s="223" t="s">
        <v>25</v>
      </c>
      <c r="B5" s="27"/>
      <c r="C5" s="31"/>
      <c r="D5" s="27"/>
      <c r="E5" s="14" t="s">
        <v>27</v>
      </c>
      <c r="F5" s="12"/>
      <c r="G5" s="13" t="s">
        <v>508</v>
      </c>
      <c r="H5" s="12"/>
      <c r="I5" s="14" t="s">
        <v>28</v>
      </c>
      <c r="J5" s="12"/>
      <c r="K5" s="32"/>
      <c r="L5" s="33"/>
      <c r="M5" s="34"/>
      <c r="N5" s="35"/>
      <c r="O5" s="34"/>
      <c r="P5" s="35"/>
      <c r="Q5" s="36" t="s">
        <v>29</v>
      </c>
      <c r="R5" s="27"/>
      <c r="S5" s="37"/>
      <c r="T5" s="27"/>
      <c r="U5" s="38" t="s">
        <v>30</v>
      </c>
      <c r="V5" s="22"/>
      <c r="W5" s="22"/>
      <c r="X5" s="222"/>
    </row>
    <row r="6" ht="15.75" customHeight="1">
      <c r="A6" s="224"/>
      <c r="B6" s="225"/>
      <c r="C6" s="226"/>
      <c r="D6" s="225"/>
      <c r="E6" s="227" t="s">
        <v>31</v>
      </c>
      <c r="F6" s="228"/>
      <c r="G6" s="229" t="s">
        <v>137</v>
      </c>
      <c r="H6" s="228"/>
      <c r="I6" s="227" t="s">
        <v>32</v>
      </c>
      <c r="J6" s="228"/>
      <c r="K6" s="230"/>
      <c r="L6" s="228"/>
      <c r="M6" s="226"/>
      <c r="N6" s="225"/>
      <c r="O6" s="226"/>
      <c r="P6" s="225"/>
      <c r="Q6" s="226"/>
      <c r="R6" s="225"/>
      <c r="S6" s="226"/>
      <c r="T6" s="225"/>
      <c r="U6" s="231" t="s">
        <v>33</v>
      </c>
      <c r="V6" s="232"/>
      <c r="W6" s="232"/>
      <c r="X6" s="233"/>
    </row>
    <row r="7" ht="15.75" customHeight="1">
      <c r="A7" s="234" t="s">
        <v>311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542</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510</v>
      </c>
      <c r="B9" s="50"/>
      <c r="C9" s="50"/>
      <c r="D9" s="50"/>
      <c r="E9" s="50"/>
      <c r="F9" s="50"/>
      <c r="G9" s="50"/>
      <c r="H9" s="50"/>
      <c r="I9" s="50"/>
      <c r="J9" s="50"/>
      <c r="K9" s="50"/>
      <c r="L9" s="50"/>
      <c r="M9" s="50"/>
      <c r="N9" s="50"/>
      <c r="O9" s="50"/>
      <c r="P9" s="50"/>
      <c r="Q9" s="50"/>
      <c r="R9" s="50"/>
      <c r="S9" s="50"/>
      <c r="T9" s="50"/>
      <c r="U9" s="50"/>
      <c r="V9" s="50"/>
      <c r="W9" s="50"/>
      <c r="X9" s="51"/>
    </row>
    <row r="10" ht="15.75" customHeight="1">
      <c r="A10" s="235" t="s">
        <v>543</v>
      </c>
      <c r="B10" s="50"/>
      <c r="C10" s="50"/>
      <c r="D10" s="50"/>
      <c r="E10" s="51"/>
      <c r="F10" s="49"/>
      <c r="G10" s="50"/>
      <c r="H10" s="50"/>
      <c r="I10" s="50"/>
      <c r="J10" s="50"/>
      <c r="K10" s="50"/>
      <c r="L10" s="50"/>
      <c r="M10" s="50"/>
      <c r="N10" s="50"/>
      <c r="O10" s="50"/>
      <c r="P10" s="50"/>
      <c r="Q10" s="53" t="s">
        <v>512</v>
      </c>
      <c r="R10" s="50"/>
      <c r="S10" s="50"/>
      <c r="T10" s="51"/>
      <c r="U10" s="300"/>
      <c r="V10" s="50"/>
      <c r="W10" s="50"/>
      <c r="X10" s="51"/>
    </row>
    <row r="11" ht="15.75" customHeight="1">
      <c r="A11" s="281" t="s">
        <v>544</v>
      </c>
      <c r="B11" s="9"/>
      <c r="C11" s="9"/>
      <c r="D11" s="9"/>
      <c r="E11" s="10"/>
      <c r="F11" s="77"/>
      <c r="G11" s="9"/>
      <c r="H11" s="9"/>
      <c r="I11" s="9"/>
      <c r="J11" s="9"/>
      <c r="K11" s="9"/>
      <c r="L11" s="9"/>
      <c r="M11" s="9"/>
      <c r="N11" s="9"/>
      <c r="O11" s="9"/>
      <c r="P11" s="9"/>
      <c r="Q11" s="53"/>
      <c r="R11" s="50"/>
      <c r="S11" s="50"/>
      <c r="T11" s="51"/>
      <c r="U11" s="299"/>
      <c r="V11" s="9"/>
      <c r="W11" s="9"/>
      <c r="X11" s="10"/>
    </row>
    <row r="12" ht="15.75" customHeight="1">
      <c r="A12" s="282" t="s">
        <v>514</v>
      </c>
      <c r="B12" s="278"/>
      <c r="C12" s="278"/>
      <c r="D12" s="278"/>
      <c r="E12" s="279"/>
      <c r="F12" s="282"/>
      <c r="G12" s="278"/>
      <c r="H12" s="278"/>
      <c r="I12" s="278"/>
      <c r="J12" s="278"/>
      <c r="K12" s="278"/>
      <c r="L12" s="278"/>
      <c r="M12" s="278"/>
      <c r="N12" s="278"/>
      <c r="O12" s="278"/>
      <c r="P12" s="278"/>
      <c r="Q12" s="156"/>
      <c r="R12" s="50"/>
      <c r="S12" s="50"/>
      <c r="T12" s="51"/>
      <c r="U12" s="301"/>
      <c r="V12" s="278"/>
      <c r="W12" s="278"/>
      <c r="X12" s="279"/>
    </row>
    <row r="13" ht="15.75" customHeight="1">
      <c r="A13" s="282" t="s">
        <v>545</v>
      </c>
      <c r="B13" s="278"/>
      <c r="C13" s="278"/>
      <c r="D13" s="278"/>
      <c r="E13" s="279"/>
      <c r="F13" s="282"/>
      <c r="G13" s="278"/>
      <c r="H13" s="278"/>
      <c r="I13" s="278"/>
      <c r="J13" s="278"/>
      <c r="K13" s="278"/>
      <c r="L13" s="278"/>
      <c r="M13" s="278"/>
      <c r="N13" s="278"/>
      <c r="O13" s="278"/>
      <c r="P13" s="278"/>
      <c r="Q13" s="278"/>
      <c r="R13" s="278"/>
      <c r="S13" s="278"/>
      <c r="T13" s="278"/>
      <c r="U13" s="278"/>
      <c r="V13" s="278"/>
      <c r="W13" s="278"/>
      <c r="X13" s="279"/>
    </row>
    <row r="14" ht="15.75" customHeight="1">
      <c r="A14" s="283"/>
      <c r="B14" s="81"/>
      <c r="C14" s="81"/>
      <c r="D14" s="81"/>
      <c r="E14" s="81"/>
      <c r="F14" s="81"/>
      <c r="G14" s="81"/>
      <c r="H14" s="81"/>
      <c r="I14" s="81"/>
      <c r="J14" s="81"/>
      <c r="K14" s="81"/>
      <c r="L14" s="81"/>
      <c r="M14" s="81"/>
      <c r="N14" s="81"/>
      <c r="O14" s="81"/>
      <c r="P14" s="81"/>
      <c r="Q14" s="81"/>
      <c r="R14" s="81"/>
      <c r="S14" s="81"/>
      <c r="T14" s="81"/>
      <c r="U14" s="81"/>
      <c r="V14" s="81"/>
      <c r="W14" s="81"/>
      <c r="X14" s="82"/>
    </row>
    <row r="15" ht="15.75" customHeight="1">
      <c r="A15" s="49" t="s">
        <v>546</v>
      </c>
      <c r="B15" s="50"/>
      <c r="C15" s="50"/>
      <c r="D15" s="50"/>
      <c r="E15" s="50"/>
      <c r="F15" s="50"/>
      <c r="G15" s="50"/>
      <c r="H15" s="50"/>
      <c r="I15" s="50"/>
      <c r="J15" s="50"/>
      <c r="K15" s="50"/>
      <c r="L15" s="50"/>
      <c r="M15" s="50"/>
      <c r="N15" s="50"/>
      <c r="O15" s="50"/>
      <c r="P15" s="50"/>
      <c r="Q15" s="50"/>
      <c r="R15" s="50"/>
      <c r="S15" s="50"/>
      <c r="T15" s="50"/>
      <c r="U15" s="50"/>
      <c r="V15" s="50"/>
      <c r="W15" s="50"/>
      <c r="X15" s="51"/>
    </row>
    <row r="16" ht="15.75" customHeight="1">
      <c r="A16" s="271" t="s">
        <v>112</v>
      </c>
      <c r="B16" s="272" t="s">
        <v>547</v>
      </c>
      <c r="C16" s="50"/>
      <c r="D16" s="50"/>
      <c r="E16" s="50"/>
      <c r="F16" s="50"/>
      <c r="G16" s="50"/>
      <c r="H16" s="50"/>
      <c r="I16" s="50"/>
      <c r="J16" s="50"/>
      <c r="K16" s="51"/>
      <c r="L16" s="284" t="s">
        <v>548</v>
      </c>
      <c r="M16" s="50"/>
      <c r="N16" s="50"/>
      <c r="O16" s="51"/>
      <c r="P16" s="284" t="s">
        <v>549</v>
      </c>
      <c r="Q16" s="50"/>
      <c r="R16" s="50"/>
      <c r="S16" s="50"/>
      <c r="T16" s="50"/>
      <c r="U16" s="50"/>
      <c r="V16" s="50"/>
      <c r="W16" s="50"/>
      <c r="X16" s="51"/>
    </row>
    <row r="17" ht="15.75" customHeight="1">
      <c r="A17" s="285">
        <v>2.1</v>
      </c>
      <c r="B17" s="286" t="s">
        <v>550</v>
      </c>
      <c r="C17" s="260"/>
      <c r="D17" s="260"/>
      <c r="E17" s="260"/>
      <c r="F17" s="260"/>
      <c r="G17" s="260"/>
      <c r="H17" s="260"/>
      <c r="I17" s="260"/>
      <c r="J17" s="260"/>
      <c r="K17" s="260"/>
      <c r="L17" s="302"/>
      <c r="M17" s="218"/>
      <c r="N17" s="218"/>
      <c r="O17" s="218"/>
      <c r="P17" s="287"/>
      <c r="Q17" s="260"/>
      <c r="R17" s="260"/>
      <c r="S17" s="260"/>
      <c r="T17" s="260"/>
      <c r="U17" s="260"/>
      <c r="V17" s="260"/>
      <c r="W17" s="260"/>
      <c r="X17" s="263"/>
    </row>
    <row r="18" ht="15.75" customHeight="1">
      <c r="A18" s="242">
        <v>2.2</v>
      </c>
      <c r="B18" s="243" t="s">
        <v>551</v>
      </c>
      <c r="C18" s="245"/>
      <c r="D18" s="245"/>
      <c r="E18" s="245"/>
      <c r="F18" s="245"/>
      <c r="G18" s="245"/>
      <c r="H18" s="245"/>
      <c r="I18" s="245"/>
      <c r="J18" s="245"/>
      <c r="K18" s="245"/>
      <c r="L18" s="266"/>
      <c r="M18" s="245"/>
      <c r="N18" s="245"/>
      <c r="O18" s="245"/>
      <c r="P18" s="244"/>
      <c r="Q18" s="245"/>
      <c r="R18" s="245"/>
      <c r="S18" s="245"/>
      <c r="T18" s="245"/>
      <c r="U18" s="245"/>
      <c r="V18" s="245"/>
      <c r="W18" s="245"/>
      <c r="X18" s="247"/>
    </row>
    <row r="19" ht="15.75" customHeight="1">
      <c r="A19" s="242">
        <v>2.3</v>
      </c>
      <c r="B19" s="243" t="s">
        <v>552</v>
      </c>
      <c r="C19" s="245"/>
      <c r="D19" s="245"/>
      <c r="E19" s="245"/>
      <c r="F19" s="245"/>
      <c r="G19" s="245"/>
      <c r="H19" s="245"/>
      <c r="I19" s="245"/>
      <c r="J19" s="245"/>
      <c r="K19" s="245"/>
      <c r="L19" s="266"/>
      <c r="M19" s="245"/>
      <c r="N19" s="245"/>
      <c r="O19" s="245"/>
      <c r="P19" s="244"/>
      <c r="Q19" s="245"/>
      <c r="R19" s="245"/>
      <c r="S19" s="245"/>
      <c r="T19" s="245"/>
      <c r="U19" s="245"/>
      <c r="V19" s="245"/>
      <c r="W19" s="245"/>
      <c r="X19" s="247"/>
    </row>
    <row r="20" ht="15.75" customHeight="1">
      <c r="A20" s="242">
        <v>2.4</v>
      </c>
      <c r="B20" s="243" t="s">
        <v>553</v>
      </c>
      <c r="C20" s="245"/>
      <c r="D20" s="245"/>
      <c r="E20" s="245"/>
      <c r="F20" s="245"/>
      <c r="G20" s="245"/>
      <c r="H20" s="245"/>
      <c r="I20" s="245"/>
      <c r="J20" s="245"/>
      <c r="K20" s="245"/>
      <c r="L20" s="266"/>
      <c r="M20" s="245"/>
      <c r="N20" s="245"/>
      <c r="O20" s="245"/>
      <c r="P20" s="244"/>
      <c r="Q20" s="245"/>
      <c r="R20" s="245"/>
      <c r="S20" s="245"/>
      <c r="T20" s="245"/>
      <c r="U20" s="245"/>
      <c r="V20" s="245"/>
      <c r="W20" s="245"/>
      <c r="X20" s="247"/>
    </row>
    <row r="21" ht="15.75" customHeight="1">
      <c r="A21" s="248">
        <v>2.1</v>
      </c>
      <c r="B21" s="243"/>
      <c r="C21" s="245"/>
      <c r="D21" s="245"/>
      <c r="E21" s="245"/>
      <c r="F21" s="245"/>
      <c r="G21" s="245"/>
      <c r="H21" s="245"/>
      <c r="I21" s="245"/>
      <c r="J21" s="245"/>
      <c r="K21" s="245"/>
      <c r="L21" s="266"/>
      <c r="M21" s="245"/>
      <c r="N21" s="245"/>
      <c r="O21" s="245"/>
      <c r="P21" s="244"/>
      <c r="Q21" s="245"/>
      <c r="R21" s="245"/>
      <c r="S21" s="245"/>
      <c r="T21" s="245"/>
      <c r="U21" s="245"/>
      <c r="V21" s="245"/>
      <c r="W21" s="245"/>
      <c r="X21" s="247"/>
    </row>
    <row r="22" ht="15.75" customHeight="1">
      <c r="A22" s="242">
        <v>2.2</v>
      </c>
      <c r="B22" s="243"/>
      <c r="C22" s="245"/>
      <c r="D22" s="245"/>
      <c r="E22" s="245"/>
      <c r="F22" s="245"/>
      <c r="G22" s="245"/>
      <c r="H22" s="245"/>
      <c r="I22" s="245"/>
      <c r="J22" s="245"/>
      <c r="K22" s="245"/>
      <c r="L22" s="266"/>
      <c r="M22" s="245"/>
      <c r="N22" s="245"/>
      <c r="O22" s="245"/>
      <c r="P22" s="244"/>
      <c r="Q22" s="245"/>
      <c r="R22" s="245"/>
      <c r="S22" s="245"/>
      <c r="T22" s="245"/>
      <c r="U22" s="245"/>
      <c r="V22" s="245"/>
      <c r="W22" s="245"/>
      <c r="X22" s="247"/>
    </row>
    <row r="23" ht="15.75" customHeight="1">
      <c r="A23" s="242">
        <v>2.3</v>
      </c>
      <c r="B23" s="243"/>
      <c r="C23" s="245"/>
      <c r="D23" s="245"/>
      <c r="E23" s="245"/>
      <c r="F23" s="245"/>
      <c r="G23" s="245"/>
      <c r="H23" s="245"/>
      <c r="I23" s="245"/>
      <c r="J23" s="245"/>
      <c r="K23" s="245"/>
      <c r="L23" s="266"/>
      <c r="M23" s="245"/>
      <c r="N23" s="245"/>
      <c r="O23" s="245"/>
      <c r="P23" s="244"/>
      <c r="Q23" s="245"/>
      <c r="R23" s="245"/>
      <c r="S23" s="245"/>
      <c r="T23" s="245"/>
      <c r="U23" s="245"/>
      <c r="V23" s="245"/>
      <c r="W23" s="245"/>
      <c r="X23" s="247"/>
    </row>
    <row r="24" ht="15.75" customHeight="1">
      <c r="A24" s="242">
        <v>2.4</v>
      </c>
      <c r="B24" s="243"/>
      <c r="C24" s="245"/>
      <c r="D24" s="245"/>
      <c r="E24" s="245"/>
      <c r="F24" s="245"/>
      <c r="G24" s="245"/>
      <c r="H24" s="245"/>
      <c r="I24" s="245"/>
      <c r="J24" s="245"/>
      <c r="K24" s="245"/>
      <c r="L24" s="266"/>
      <c r="M24" s="245"/>
      <c r="N24" s="245"/>
      <c r="O24" s="245"/>
      <c r="P24" s="244"/>
      <c r="Q24" s="245"/>
      <c r="R24" s="245"/>
      <c r="S24" s="245"/>
      <c r="T24" s="245"/>
      <c r="U24" s="245"/>
      <c r="V24" s="245"/>
      <c r="W24" s="245"/>
      <c r="X24" s="247"/>
    </row>
    <row r="25" ht="15.75" customHeight="1">
      <c r="A25" s="248"/>
      <c r="B25" s="243"/>
      <c r="C25" s="245"/>
      <c r="D25" s="245"/>
      <c r="E25" s="245"/>
      <c r="F25" s="245"/>
      <c r="G25" s="245"/>
      <c r="H25" s="245"/>
      <c r="I25" s="245"/>
      <c r="J25" s="245"/>
      <c r="K25" s="245"/>
      <c r="L25" s="266"/>
      <c r="M25" s="245"/>
      <c r="N25" s="245"/>
      <c r="O25" s="245"/>
      <c r="P25" s="244"/>
      <c r="Q25" s="245"/>
      <c r="R25" s="245"/>
      <c r="S25" s="245"/>
      <c r="T25" s="245"/>
      <c r="U25" s="245"/>
      <c r="V25" s="245"/>
      <c r="W25" s="245"/>
      <c r="X25" s="247"/>
    </row>
    <row r="26" ht="15.75" customHeight="1">
      <c r="A26" s="242"/>
      <c r="B26" s="243"/>
      <c r="C26" s="245"/>
      <c r="D26" s="245"/>
      <c r="E26" s="245"/>
      <c r="F26" s="245"/>
      <c r="G26" s="245"/>
      <c r="H26" s="245"/>
      <c r="I26" s="245"/>
      <c r="J26" s="245"/>
      <c r="K26" s="245"/>
      <c r="L26" s="266"/>
      <c r="M26" s="245"/>
      <c r="N26" s="245"/>
      <c r="O26" s="245"/>
      <c r="P26" s="244"/>
      <c r="Q26" s="245"/>
      <c r="R26" s="245"/>
      <c r="S26" s="245"/>
      <c r="T26" s="245"/>
      <c r="U26" s="245"/>
      <c r="V26" s="245"/>
      <c r="W26" s="245"/>
      <c r="X26" s="247"/>
    </row>
    <row r="27" ht="15.75" customHeight="1">
      <c r="A27" s="242"/>
      <c r="B27" s="243"/>
      <c r="C27" s="245"/>
      <c r="D27" s="245"/>
      <c r="E27" s="245"/>
      <c r="F27" s="245"/>
      <c r="G27" s="245"/>
      <c r="H27" s="245"/>
      <c r="I27" s="245"/>
      <c r="J27" s="245"/>
      <c r="K27" s="245"/>
      <c r="L27" s="266"/>
      <c r="M27" s="245"/>
      <c r="N27" s="245"/>
      <c r="O27" s="245"/>
      <c r="P27" s="244"/>
      <c r="Q27" s="245"/>
      <c r="R27" s="245"/>
      <c r="S27" s="245"/>
      <c r="T27" s="245"/>
      <c r="U27" s="245"/>
      <c r="V27" s="245"/>
      <c r="W27" s="245"/>
      <c r="X27" s="247"/>
    </row>
    <row r="28" ht="15.75" customHeight="1">
      <c r="A28" s="242"/>
      <c r="B28" s="243"/>
      <c r="C28" s="245"/>
      <c r="D28" s="245"/>
      <c r="E28" s="245"/>
      <c r="F28" s="245"/>
      <c r="G28" s="245"/>
      <c r="H28" s="245"/>
      <c r="I28" s="245"/>
      <c r="J28" s="245"/>
      <c r="K28" s="245"/>
      <c r="L28" s="266"/>
      <c r="M28" s="245"/>
      <c r="N28" s="245"/>
      <c r="O28" s="245"/>
      <c r="P28" s="244"/>
      <c r="Q28" s="245"/>
      <c r="R28" s="245"/>
      <c r="S28" s="245"/>
      <c r="T28" s="245"/>
      <c r="U28" s="245"/>
      <c r="V28" s="245"/>
      <c r="W28" s="245"/>
      <c r="X28" s="247"/>
    </row>
    <row r="29" ht="15.75" customHeight="1">
      <c r="A29" s="288"/>
      <c r="B29" s="289"/>
      <c r="C29" s="256"/>
      <c r="D29" s="256"/>
      <c r="E29" s="256"/>
      <c r="F29" s="256"/>
      <c r="G29" s="256"/>
      <c r="H29" s="256"/>
      <c r="I29" s="256"/>
      <c r="J29" s="256"/>
      <c r="K29" s="256"/>
      <c r="L29" s="269"/>
      <c r="M29" s="256"/>
      <c r="N29" s="256"/>
      <c r="O29" s="256"/>
      <c r="P29" s="255"/>
      <c r="Q29" s="256"/>
      <c r="R29" s="256"/>
      <c r="S29" s="256"/>
      <c r="T29" s="256"/>
      <c r="U29" s="256"/>
      <c r="V29" s="256"/>
      <c r="W29" s="256"/>
      <c r="X29" s="258"/>
    </row>
    <row r="30" ht="15.75" customHeight="1">
      <c r="A30" s="158" t="s">
        <v>554</v>
      </c>
      <c r="B30" s="81"/>
      <c r="C30" s="81"/>
      <c r="D30" s="81"/>
      <c r="E30" s="81"/>
      <c r="F30" s="81"/>
      <c r="G30" s="81"/>
      <c r="H30" s="81"/>
      <c r="I30" s="81"/>
      <c r="J30" s="81"/>
      <c r="K30" s="81"/>
      <c r="L30" s="81"/>
      <c r="M30" s="81"/>
      <c r="N30" s="81"/>
      <c r="O30" s="81"/>
      <c r="P30" s="81"/>
      <c r="Q30" s="81"/>
      <c r="R30" s="81"/>
      <c r="S30" s="81"/>
      <c r="T30" s="81"/>
      <c r="U30" s="81"/>
      <c r="V30" s="81"/>
      <c r="W30" s="81"/>
      <c r="X30" s="82"/>
    </row>
    <row r="31" ht="15.75" customHeight="1">
      <c r="A31" s="271" t="s">
        <v>112</v>
      </c>
      <c r="B31" s="272" t="s">
        <v>547</v>
      </c>
      <c r="C31" s="50"/>
      <c r="D31" s="50"/>
      <c r="E31" s="50"/>
      <c r="F31" s="50"/>
      <c r="G31" s="50"/>
      <c r="H31" s="50"/>
      <c r="I31" s="50"/>
      <c r="J31" s="50"/>
      <c r="K31" s="51"/>
      <c r="L31" s="284" t="s">
        <v>548</v>
      </c>
      <c r="M31" s="50"/>
      <c r="N31" s="50"/>
      <c r="O31" s="51"/>
      <c r="P31" s="284" t="s">
        <v>549</v>
      </c>
      <c r="Q31" s="50"/>
      <c r="R31" s="50"/>
      <c r="S31" s="50"/>
      <c r="T31" s="50"/>
      <c r="U31" s="50"/>
      <c r="V31" s="50"/>
      <c r="W31" s="50"/>
      <c r="X31" s="51"/>
    </row>
    <row r="32" ht="15.75" customHeight="1">
      <c r="A32" s="285">
        <v>2.1</v>
      </c>
      <c r="B32" s="286" t="s">
        <v>555</v>
      </c>
      <c r="C32" s="260"/>
      <c r="D32" s="260"/>
      <c r="E32" s="260"/>
      <c r="F32" s="260"/>
      <c r="G32" s="260"/>
      <c r="H32" s="260"/>
      <c r="I32" s="260"/>
      <c r="J32" s="260"/>
      <c r="K32" s="260"/>
      <c r="L32" s="302"/>
      <c r="M32" s="218"/>
      <c r="N32" s="218"/>
      <c r="O32" s="218"/>
      <c r="P32" s="287"/>
      <c r="Q32" s="260"/>
      <c r="R32" s="260"/>
      <c r="S32" s="260"/>
      <c r="T32" s="260"/>
      <c r="U32" s="260"/>
      <c r="V32" s="260"/>
      <c r="W32" s="260"/>
      <c r="X32" s="263"/>
    </row>
    <row r="33" ht="15.75" customHeight="1">
      <c r="A33" s="242">
        <v>2.2</v>
      </c>
      <c r="B33" s="243" t="s">
        <v>556</v>
      </c>
      <c r="C33" s="245"/>
      <c r="D33" s="245"/>
      <c r="E33" s="245"/>
      <c r="F33" s="245"/>
      <c r="G33" s="245"/>
      <c r="H33" s="245"/>
      <c r="I33" s="245"/>
      <c r="J33" s="245"/>
      <c r="K33" s="245"/>
      <c r="L33" s="266"/>
      <c r="M33" s="245"/>
      <c r="N33" s="245"/>
      <c r="O33" s="245"/>
      <c r="P33" s="244"/>
      <c r="Q33" s="245"/>
      <c r="R33" s="245"/>
      <c r="S33" s="245"/>
      <c r="T33" s="245"/>
      <c r="U33" s="245"/>
      <c r="V33" s="245"/>
      <c r="W33" s="245"/>
      <c r="X33" s="247"/>
    </row>
    <row r="34" ht="15.75" customHeight="1">
      <c r="A34" s="242">
        <v>2.3</v>
      </c>
      <c r="B34" s="243"/>
      <c r="C34" s="245"/>
      <c r="D34" s="245"/>
      <c r="E34" s="245"/>
      <c r="F34" s="245"/>
      <c r="G34" s="245"/>
      <c r="H34" s="245"/>
      <c r="I34" s="245"/>
      <c r="J34" s="245"/>
      <c r="K34" s="245"/>
      <c r="L34" s="266"/>
      <c r="M34" s="245"/>
      <c r="N34" s="245"/>
      <c r="O34" s="245"/>
      <c r="P34" s="244"/>
      <c r="Q34" s="245"/>
      <c r="R34" s="245"/>
      <c r="S34" s="245"/>
      <c r="T34" s="245"/>
      <c r="U34" s="245"/>
      <c r="V34" s="245"/>
      <c r="W34" s="245"/>
      <c r="X34" s="247"/>
    </row>
    <row r="35" ht="15.75" customHeight="1">
      <c r="A35" s="242">
        <v>2.4</v>
      </c>
      <c r="B35" s="243"/>
      <c r="C35" s="245"/>
      <c r="D35" s="245"/>
      <c r="E35" s="245"/>
      <c r="F35" s="245"/>
      <c r="G35" s="245"/>
      <c r="H35" s="245"/>
      <c r="I35" s="245"/>
      <c r="J35" s="245"/>
      <c r="K35" s="245"/>
      <c r="L35" s="266"/>
      <c r="M35" s="245"/>
      <c r="N35" s="245"/>
      <c r="O35" s="245"/>
      <c r="P35" s="244"/>
      <c r="Q35" s="245"/>
      <c r="R35" s="245"/>
      <c r="S35" s="245"/>
      <c r="T35" s="245"/>
      <c r="U35" s="245"/>
      <c r="V35" s="245"/>
      <c r="W35" s="245"/>
      <c r="X35" s="247"/>
    </row>
    <row r="36" ht="15.75" customHeight="1">
      <c r="A36" s="248">
        <v>2.1</v>
      </c>
      <c r="B36" s="243"/>
      <c r="C36" s="245"/>
      <c r="D36" s="245"/>
      <c r="E36" s="245"/>
      <c r="F36" s="245"/>
      <c r="G36" s="245"/>
      <c r="H36" s="245"/>
      <c r="I36" s="245"/>
      <c r="J36" s="245"/>
      <c r="K36" s="245"/>
      <c r="L36" s="266"/>
      <c r="M36" s="245"/>
      <c r="N36" s="245"/>
      <c r="O36" s="245"/>
      <c r="P36" s="244"/>
      <c r="Q36" s="245"/>
      <c r="R36" s="245"/>
      <c r="S36" s="245"/>
      <c r="T36" s="245"/>
      <c r="U36" s="245"/>
      <c r="V36" s="245"/>
      <c r="W36" s="245"/>
      <c r="X36" s="247"/>
    </row>
    <row r="37" ht="15.75" customHeight="1">
      <c r="A37" s="242">
        <v>2.2</v>
      </c>
      <c r="B37" s="243"/>
      <c r="C37" s="245"/>
      <c r="D37" s="245"/>
      <c r="E37" s="245"/>
      <c r="F37" s="245"/>
      <c r="G37" s="245"/>
      <c r="H37" s="245"/>
      <c r="I37" s="245"/>
      <c r="J37" s="245"/>
      <c r="K37" s="245"/>
      <c r="L37" s="266"/>
      <c r="M37" s="245"/>
      <c r="N37" s="245"/>
      <c r="O37" s="245"/>
      <c r="P37" s="244"/>
      <c r="Q37" s="245"/>
      <c r="R37" s="245"/>
      <c r="S37" s="245"/>
      <c r="T37" s="245"/>
      <c r="U37" s="245"/>
      <c r="V37" s="245"/>
      <c r="W37" s="245"/>
      <c r="X37" s="247"/>
    </row>
    <row r="38" ht="15.75" customHeight="1">
      <c r="A38" s="242">
        <v>2.3</v>
      </c>
      <c r="B38" s="243"/>
      <c r="C38" s="245"/>
      <c r="D38" s="245"/>
      <c r="E38" s="245"/>
      <c r="F38" s="245"/>
      <c r="G38" s="245"/>
      <c r="H38" s="245"/>
      <c r="I38" s="245"/>
      <c r="J38" s="245"/>
      <c r="K38" s="245"/>
      <c r="L38" s="266"/>
      <c r="M38" s="245"/>
      <c r="N38" s="245"/>
      <c r="O38" s="245"/>
      <c r="P38" s="244"/>
      <c r="Q38" s="245"/>
      <c r="R38" s="245"/>
      <c r="S38" s="245"/>
      <c r="T38" s="245"/>
      <c r="U38" s="245"/>
      <c r="V38" s="245"/>
      <c r="W38" s="245"/>
      <c r="X38" s="247"/>
    </row>
    <row r="39" ht="15.75" customHeight="1">
      <c r="A39" s="242">
        <v>2.4</v>
      </c>
      <c r="B39" s="243"/>
      <c r="C39" s="245"/>
      <c r="D39" s="245"/>
      <c r="E39" s="245"/>
      <c r="F39" s="245"/>
      <c r="G39" s="245"/>
      <c r="H39" s="245"/>
      <c r="I39" s="245"/>
      <c r="J39" s="245"/>
      <c r="K39" s="245"/>
      <c r="L39" s="266"/>
      <c r="M39" s="245"/>
      <c r="N39" s="245"/>
      <c r="O39" s="245"/>
      <c r="P39" s="244"/>
      <c r="Q39" s="245"/>
      <c r="R39" s="245"/>
      <c r="S39" s="245"/>
      <c r="T39" s="245"/>
      <c r="U39" s="245"/>
      <c r="V39" s="245"/>
      <c r="W39" s="245"/>
      <c r="X39" s="247"/>
    </row>
    <row r="40" ht="15.75" customHeight="1">
      <c r="A40" s="248"/>
      <c r="B40" s="243"/>
      <c r="C40" s="245"/>
      <c r="D40" s="245"/>
      <c r="E40" s="245"/>
      <c r="F40" s="245"/>
      <c r="G40" s="245"/>
      <c r="H40" s="245"/>
      <c r="I40" s="245"/>
      <c r="J40" s="245"/>
      <c r="K40" s="245"/>
      <c r="L40" s="266"/>
      <c r="M40" s="245"/>
      <c r="N40" s="245"/>
      <c r="O40" s="245"/>
      <c r="P40" s="244"/>
      <c r="Q40" s="245"/>
      <c r="R40" s="245"/>
      <c r="S40" s="245"/>
      <c r="T40" s="245"/>
      <c r="U40" s="245"/>
      <c r="V40" s="245"/>
      <c r="W40" s="245"/>
      <c r="X40" s="247"/>
    </row>
    <row r="41" ht="15.75" customHeight="1">
      <c r="A41" s="242"/>
      <c r="B41" s="243"/>
      <c r="C41" s="245"/>
      <c r="D41" s="245"/>
      <c r="E41" s="245"/>
      <c r="F41" s="245"/>
      <c r="G41" s="245"/>
      <c r="H41" s="245"/>
      <c r="I41" s="245"/>
      <c r="J41" s="245"/>
      <c r="K41" s="245"/>
      <c r="L41" s="266"/>
      <c r="M41" s="245"/>
      <c r="N41" s="245"/>
      <c r="O41" s="245"/>
      <c r="P41" s="244"/>
      <c r="Q41" s="245"/>
      <c r="R41" s="245"/>
      <c r="S41" s="245"/>
      <c r="T41" s="245"/>
      <c r="U41" s="245"/>
      <c r="V41" s="245"/>
      <c r="W41" s="245"/>
      <c r="X41" s="247"/>
    </row>
    <row r="42" ht="15.75" customHeight="1">
      <c r="A42" s="242"/>
      <c r="B42" s="243"/>
      <c r="C42" s="245"/>
      <c r="D42" s="245"/>
      <c r="E42" s="245"/>
      <c r="F42" s="245"/>
      <c r="G42" s="245"/>
      <c r="H42" s="245"/>
      <c r="I42" s="245"/>
      <c r="J42" s="245"/>
      <c r="K42" s="245"/>
      <c r="L42" s="266"/>
      <c r="M42" s="245"/>
      <c r="N42" s="245"/>
      <c r="O42" s="245"/>
      <c r="P42" s="244"/>
      <c r="Q42" s="245"/>
      <c r="R42" s="245"/>
      <c r="S42" s="245"/>
      <c r="T42" s="245"/>
      <c r="U42" s="245"/>
      <c r="V42" s="245"/>
      <c r="W42" s="245"/>
      <c r="X42" s="247"/>
    </row>
    <row r="43" ht="15.75" customHeight="1">
      <c r="A43" s="248"/>
      <c r="B43" s="249"/>
      <c r="C43" s="251"/>
      <c r="D43" s="251"/>
      <c r="E43" s="251"/>
      <c r="F43" s="251"/>
      <c r="G43" s="251"/>
      <c r="H43" s="251"/>
      <c r="I43" s="251"/>
      <c r="J43" s="251"/>
      <c r="K43" s="251"/>
      <c r="L43" s="275"/>
      <c r="M43" s="251"/>
      <c r="N43" s="251"/>
      <c r="O43" s="251"/>
      <c r="P43" s="250"/>
      <c r="Q43" s="251"/>
      <c r="R43" s="251"/>
      <c r="S43" s="251"/>
      <c r="T43" s="251"/>
      <c r="U43" s="251"/>
      <c r="V43" s="251"/>
      <c r="W43" s="251"/>
      <c r="X43" s="276"/>
    </row>
    <row r="44" ht="15.75" customHeight="1">
      <c r="A44" s="160" t="s">
        <v>557</v>
      </c>
      <c r="B44" s="50"/>
      <c r="C44" s="50"/>
      <c r="D44" s="50"/>
      <c r="E44" s="50"/>
      <c r="F44" s="50"/>
      <c r="G44" s="50"/>
      <c r="H44" s="50"/>
      <c r="I44" s="50"/>
      <c r="J44" s="50"/>
      <c r="K44" s="50"/>
      <c r="L44" s="50"/>
      <c r="M44" s="50"/>
      <c r="N44" s="50"/>
      <c r="O44" s="50"/>
      <c r="P44" s="50"/>
      <c r="Q44" s="50"/>
      <c r="R44" s="50"/>
      <c r="S44" s="50"/>
      <c r="T44" s="50"/>
      <c r="U44" s="50"/>
      <c r="V44" s="50"/>
      <c r="W44" s="50"/>
      <c r="X44" s="51"/>
    </row>
    <row r="45" ht="15.75" customHeight="1">
      <c r="A45" s="303" t="s">
        <v>558</v>
      </c>
      <c r="B45" s="119"/>
      <c r="C45" s="119"/>
      <c r="D45" s="119"/>
      <c r="E45" s="119"/>
      <c r="F45" s="120"/>
      <c r="G45" s="304"/>
      <c r="H45" s="119"/>
      <c r="I45" s="119"/>
      <c r="J45" s="119"/>
      <c r="K45" s="119"/>
      <c r="L45" s="119"/>
      <c r="M45" s="119"/>
      <c r="N45" s="119"/>
      <c r="O45" s="184"/>
      <c r="P45" s="305" t="s">
        <v>559</v>
      </c>
      <c r="Q45" s="119"/>
      <c r="R45" s="119"/>
      <c r="S45" s="184"/>
      <c r="T45" s="306"/>
      <c r="U45" s="119"/>
      <c r="V45" s="119"/>
      <c r="W45" s="119"/>
      <c r="X45" s="185"/>
    </row>
    <row r="46" ht="15.75" customHeight="1">
      <c r="A46" s="307" t="s">
        <v>560</v>
      </c>
      <c r="B46" s="175"/>
      <c r="C46" s="175"/>
      <c r="D46" s="175"/>
      <c r="E46" s="175"/>
      <c r="F46" s="308"/>
      <c r="G46" s="309"/>
      <c r="H46" s="175"/>
      <c r="I46" s="175"/>
      <c r="J46" s="175"/>
      <c r="K46" s="175"/>
      <c r="L46" s="175"/>
      <c r="M46" s="175"/>
      <c r="N46" s="175"/>
      <c r="O46" s="175"/>
      <c r="P46" s="175"/>
      <c r="Q46" s="175"/>
      <c r="R46" s="175"/>
      <c r="S46" s="175"/>
      <c r="T46" s="175"/>
      <c r="U46" s="175"/>
      <c r="V46" s="175"/>
      <c r="W46" s="175"/>
      <c r="X46" s="177"/>
    </row>
    <row r="47" ht="15.75" customHeight="1">
      <c r="A47" s="310" t="s">
        <v>561</v>
      </c>
      <c r="B47" s="311"/>
      <c r="C47" s="311"/>
      <c r="D47" s="311"/>
      <c r="E47" s="311"/>
      <c r="F47" s="312"/>
      <c r="G47" s="313"/>
      <c r="H47" s="311"/>
      <c r="I47" s="311"/>
      <c r="J47" s="311"/>
      <c r="K47" s="311"/>
      <c r="L47" s="311"/>
      <c r="M47" s="311"/>
      <c r="N47" s="311"/>
      <c r="O47" s="311"/>
      <c r="P47" s="311"/>
      <c r="Q47" s="311"/>
      <c r="R47" s="311"/>
      <c r="S47" s="311"/>
      <c r="T47" s="311"/>
      <c r="U47" s="311"/>
      <c r="V47" s="311"/>
      <c r="W47" s="311"/>
      <c r="X47" s="31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7">
    <mergeCell ref="G46:X46"/>
    <mergeCell ref="G47:X47"/>
    <mergeCell ref="B43:K43"/>
    <mergeCell ref="L43:O43"/>
    <mergeCell ref="P43:X43"/>
    <mergeCell ref="A44:X44"/>
    <mergeCell ref="G45:O45"/>
    <mergeCell ref="P45:S45"/>
    <mergeCell ref="T45:X45"/>
    <mergeCell ref="L26:O26"/>
    <mergeCell ref="P26:X26"/>
    <mergeCell ref="B24:K24"/>
    <mergeCell ref="L24:O24"/>
    <mergeCell ref="P24:X24"/>
    <mergeCell ref="B25:K25"/>
    <mergeCell ref="L25:O25"/>
    <mergeCell ref="P25:X25"/>
    <mergeCell ref="B26:K26"/>
    <mergeCell ref="L29:O29"/>
    <mergeCell ref="P29:X29"/>
    <mergeCell ref="P31:X31"/>
    <mergeCell ref="P32:X32"/>
    <mergeCell ref="P33:X33"/>
    <mergeCell ref="B27:K27"/>
    <mergeCell ref="L27:O27"/>
    <mergeCell ref="P27:X27"/>
    <mergeCell ref="B28:K28"/>
    <mergeCell ref="L28:O28"/>
    <mergeCell ref="P28:X28"/>
    <mergeCell ref="A30:X30"/>
    <mergeCell ref="B29:K29"/>
    <mergeCell ref="B31:K31"/>
    <mergeCell ref="L31:O31"/>
    <mergeCell ref="B32:K32"/>
    <mergeCell ref="L32:O32"/>
    <mergeCell ref="B33:K33"/>
    <mergeCell ref="L33:O33"/>
    <mergeCell ref="A45:F45"/>
    <mergeCell ref="A46:F46"/>
    <mergeCell ref="A47:F47"/>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E10"/>
    <mergeCell ref="F10:P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2:E12"/>
    <mergeCell ref="A13:E13"/>
    <mergeCell ref="A11:E11"/>
    <mergeCell ref="F11:P11"/>
    <mergeCell ref="Q11:T11"/>
    <mergeCell ref="U11:X11"/>
    <mergeCell ref="F12:P12"/>
    <mergeCell ref="Q12:T12"/>
    <mergeCell ref="U12:X12"/>
    <mergeCell ref="L17:O17"/>
    <mergeCell ref="P17:X17"/>
    <mergeCell ref="F13:X13"/>
    <mergeCell ref="A14:X14"/>
    <mergeCell ref="A15:X15"/>
    <mergeCell ref="B16:K16"/>
    <mergeCell ref="L16:O16"/>
    <mergeCell ref="P16:X16"/>
    <mergeCell ref="B17:K17"/>
    <mergeCell ref="L20:O20"/>
    <mergeCell ref="P20:X20"/>
    <mergeCell ref="B18:K18"/>
    <mergeCell ref="L18:O18"/>
    <mergeCell ref="P18:X18"/>
    <mergeCell ref="B19:K19"/>
    <mergeCell ref="L19:O19"/>
    <mergeCell ref="P19:X19"/>
    <mergeCell ref="B20:K20"/>
    <mergeCell ref="L23:O23"/>
    <mergeCell ref="P23:X23"/>
    <mergeCell ref="B21:K21"/>
    <mergeCell ref="L21:O21"/>
    <mergeCell ref="P21:X21"/>
    <mergeCell ref="B22:K22"/>
    <mergeCell ref="L22:O22"/>
    <mergeCell ref="P22:X22"/>
    <mergeCell ref="B23:K23"/>
    <mergeCell ref="L36:O36"/>
    <mergeCell ref="P36:X36"/>
    <mergeCell ref="B34:K34"/>
    <mergeCell ref="L34:O34"/>
    <mergeCell ref="P34:X34"/>
    <mergeCell ref="B35:K35"/>
    <mergeCell ref="L35:O35"/>
    <mergeCell ref="P35:X35"/>
    <mergeCell ref="B36:K36"/>
    <mergeCell ref="L39:O39"/>
    <mergeCell ref="P39:X39"/>
    <mergeCell ref="B37:K37"/>
    <mergeCell ref="L37:O37"/>
    <mergeCell ref="P37:X37"/>
    <mergeCell ref="B38:K38"/>
    <mergeCell ref="L38:O38"/>
    <mergeCell ref="P38:X38"/>
    <mergeCell ref="B39:K39"/>
    <mergeCell ref="L42:O42"/>
    <mergeCell ref="P42:X42"/>
    <mergeCell ref="B40:K40"/>
    <mergeCell ref="L40:O40"/>
    <mergeCell ref="P40:X40"/>
    <mergeCell ref="B41:K41"/>
    <mergeCell ref="L41:O41"/>
    <mergeCell ref="P41:X41"/>
    <mergeCell ref="B42:K4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206" t="s">
        <v>0</v>
      </c>
      <c r="B1" s="207"/>
      <c r="C1" s="208"/>
      <c r="D1" s="207"/>
      <c r="E1" s="209" t="s">
        <v>1</v>
      </c>
      <c r="F1" s="207"/>
      <c r="G1" s="208" t="s">
        <v>562</v>
      </c>
      <c r="H1" s="207"/>
      <c r="I1" s="209" t="s">
        <v>2</v>
      </c>
      <c r="J1" s="207"/>
      <c r="K1" s="210"/>
      <c r="L1" s="207"/>
      <c r="M1" s="211" t="s">
        <v>3</v>
      </c>
      <c r="N1" s="207"/>
      <c r="O1" s="212">
        <v>4.0</v>
      </c>
      <c r="P1" s="207"/>
      <c r="Q1" s="209" t="s">
        <v>4</v>
      </c>
      <c r="R1" s="207"/>
      <c r="S1" s="208" t="s">
        <v>105</v>
      </c>
      <c r="T1" s="207"/>
      <c r="U1" s="213"/>
      <c r="V1" s="214"/>
      <c r="W1" s="214"/>
      <c r="X1" s="215"/>
    </row>
    <row r="2" ht="15.75" customHeight="1">
      <c r="A2" s="216" t="s">
        <v>5</v>
      </c>
      <c r="B2" s="12"/>
      <c r="C2" s="13"/>
      <c r="D2" s="12"/>
      <c r="E2" s="14" t="s">
        <v>6</v>
      </c>
      <c r="F2" s="12"/>
      <c r="G2" s="13"/>
      <c r="H2" s="12"/>
      <c r="I2" s="14" t="s">
        <v>7</v>
      </c>
      <c r="J2" s="12"/>
      <c r="K2" s="15"/>
      <c r="L2" s="12"/>
      <c r="M2" s="16" t="s">
        <v>8</v>
      </c>
      <c r="N2" s="12"/>
      <c r="O2" s="13" t="s">
        <v>9</v>
      </c>
      <c r="P2" s="12"/>
      <c r="Q2" s="14" t="s">
        <v>10</v>
      </c>
      <c r="R2" s="12"/>
      <c r="S2" s="13" t="s">
        <v>508</v>
      </c>
      <c r="T2" s="12"/>
      <c r="U2" s="217"/>
      <c r="V2" s="218"/>
      <c r="W2" s="218"/>
      <c r="X2" s="219"/>
    </row>
    <row r="3" ht="15.75" customHeight="1">
      <c r="A3" s="216" t="s">
        <v>11</v>
      </c>
      <c r="B3" s="12"/>
      <c r="C3" s="13"/>
      <c r="D3" s="12"/>
      <c r="E3" s="14" t="s">
        <v>12</v>
      </c>
      <c r="F3" s="12"/>
      <c r="G3" s="13" t="s">
        <v>135</v>
      </c>
      <c r="H3" s="12"/>
      <c r="I3" s="14" t="s">
        <v>13</v>
      </c>
      <c r="J3" s="12"/>
      <c r="K3" s="20"/>
      <c r="L3" s="12"/>
      <c r="M3" s="16" t="s">
        <v>14</v>
      </c>
      <c r="N3" s="12"/>
      <c r="O3" s="13" t="s">
        <v>15</v>
      </c>
      <c r="P3" s="12"/>
      <c r="Q3" s="14" t="s">
        <v>16</v>
      </c>
      <c r="R3" s="12"/>
      <c r="S3" s="13" t="s">
        <v>78</v>
      </c>
      <c r="T3" s="12"/>
      <c r="U3" s="220" t="s">
        <v>17</v>
      </c>
      <c r="V3" s="18"/>
      <c r="W3" s="18"/>
      <c r="X3" s="221"/>
    </row>
    <row r="4" ht="15.75" customHeight="1">
      <c r="A4" s="216" t="s">
        <v>18</v>
      </c>
      <c r="B4" s="12"/>
      <c r="C4" s="13" t="s">
        <v>107</v>
      </c>
      <c r="D4" s="12"/>
      <c r="E4" s="14" t="s">
        <v>20</v>
      </c>
      <c r="F4" s="12"/>
      <c r="G4" s="13" t="s">
        <v>562</v>
      </c>
      <c r="H4" s="12"/>
      <c r="I4" s="14" t="s">
        <v>21</v>
      </c>
      <c r="J4" s="12"/>
      <c r="K4" s="24"/>
      <c r="L4" s="25"/>
      <c r="M4" s="26" t="s">
        <v>22</v>
      </c>
      <c r="N4" s="27"/>
      <c r="O4" s="28">
        <v>0.0</v>
      </c>
      <c r="P4" s="27"/>
      <c r="Q4" s="14" t="s">
        <v>23</v>
      </c>
      <c r="R4" s="12"/>
      <c r="S4" s="20"/>
      <c r="T4" s="12"/>
      <c r="U4" s="29" t="s">
        <v>24</v>
      </c>
      <c r="V4" s="22"/>
      <c r="W4" s="22"/>
      <c r="X4" s="222"/>
    </row>
    <row r="5" ht="15.75" customHeight="1">
      <c r="A5" s="223" t="s">
        <v>25</v>
      </c>
      <c r="B5" s="27"/>
      <c r="C5" s="31"/>
      <c r="D5" s="27"/>
      <c r="E5" s="14" t="s">
        <v>27</v>
      </c>
      <c r="F5" s="12"/>
      <c r="G5" s="13" t="s">
        <v>563</v>
      </c>
      <c r="H5" s="12"/>
      <c r="I5" s="14" t="s">
        <v>28</v>
      </c>
      <c r="J5" s="12"/>
      <c r="K5" s="32"/>
      <c r="L5" s="33"/>
      <c r="M5" s="34"/>
      <c r="N5" s="35"/>
      <c r="O5" s="34"/>
      <c r="P5" s="35"/>
      <c r="Q5" s="36" t="s">
        <v>29</v>
      </c>
      <c r="R5" s="27"/>
      <c r="S5" s="37"/>
      <c r="T5" s="27"/>
      <c r="U5" s="38" t="s">
        <v>30</v>
      </c>
      <c r="V5" s="22"/>
      <c r="W5" s="22"/>
      <c r="X5" s="222"/>
    </row>
    <row r="6" ht="15.75" customHeight="1">
      <c r="A6" s="224"/>
      <c r="B6" s="225"/>
      <c r="C6" s="226"/>
      <c r="D6" s="225"/>
      <c r="E6" s="227" t="s">
        <v>31</v>
      </c>
      <c r="F6" s="228"/>
      <c r="G6" s="229" t="s">
        <v>137</v>
      </c>
      <c r="H6" s="228"/>
      <c r="I6" s="227" t="s">
        <v>32</v>
      </c>
      <c r="J6" s="228"/>
      <c r="K6" s="230"/>
      <c r="L6" s="228"/>
      <c r="M6" s="226"/>
      <c r="N6" s="225"/>
      <c r="O6" s="226"/>
      <c r="P6" s="225"/>
      <c r="Q6" s="226"/>
      <c r="R6" s="225"/>
      <c r="S6" s="226"/>
      <c r="T6" s="225"/>
      <c r="U6" s="231" t="s">
        <v>33</v>
      </c>
      <c r="V6" s="232"/>
      <c r="W6" s="232"/>
      <c r="X6" s="233"/>
    </row>
    <row r="7" ht="15.75" customHeight="1">
      <c r="A7" s="234" t="s">
        <v>311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564</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565</v>
      </c>
      <c r="B9" s="50"/>
      <c r="C9" s="50"/>
      <c r="D9" s="50"/>
      <c r="E9" s="50"/>
      <c r="F9" s="50"/>
      <c r="G9" s="50"/>
      <c r="H9" s="50"/>
      <c r="I9" s="50"/>
      <c r="J9" s="50"/>
      <c r="K9" s="50"/>
      <c r="L9" s="50"/>
      <c r="M9" s="50"/>
      <c r="N9" s="50"/>
      <c r="O9" s="50"/>
      <c r="P9" s="50"/>
      <c r="Q9" s="50"/>
      <c r="R9" s="50"/>
      <c r="S9" s="50"/>
      <c r="T9" s="50"/>
      <c r="U9" s="50"/>
      <c r="V9" s="50"/>
      <c r="W9" s="50"/>
      <c r="X9" s="51"/>
    </row>
    <row r="10" ht="15.75" customHeight="1">
      <c r="A10" s="235" t="s">
        <v>543</v>
      </c>
      <c r="B10" s="50"/>
      <c r="C10" s="50"/>
      <c r="D10" s="50"/>
      <c r="E10" s="51"/>
      <c r="F10" s="49"/>
      <c r="G10" s="50"/>
      <c r="H10" s="50"/>
      <c r="I10" s="50"/>
      <c r="J10" s="50"/>
      <c r="K10" s="50"/>
      <c r="L10" s="50"/>
      <c r="M10" s="50"/>
      <c r="N10" s="50"/>
      <c r="O10" s="50"/>
      <c r="P10" s="50"/>
      <c r="Q10" s="53" t="s">
        <v>512</v>
      </c>
      <c r="R10" s="50"/>
      <c r="S10" s="50"/>
      <c r="T10" s="51"/>
      <c r="U10" s="300"/>
      <c r="V10" s="50"/>
      <c r="W10" s="50"/>
      <c r="X10" s="51"/>
    </row>
    <row r="11" ht="15.75" customHeight="1">
      <c r="A11" s="281" t="s">
        <v>544</v>
      </c>
      <c r="B11" s="9"/>
      <c r="C11" s="9"/>
      <c r="D11" s="9"/>
      <c r="E11" s="10"/>
      <c r="F11" s="77"/>
      <c r="G11" s="9"/>
      <c r="H11" s="9"/>
      <c r="I11" s="9"/>
      <c r="J11" s="9"/>
      <c r="K11" s="9"/>
      <c r="L11" s="9"/>
      <c r="M11" s="9"/>
      <c r="N11" s="9"/>
      <c r="O11" s="9"/>
      <c r="P11" s="9"/>
      <c r="Q11" s="53" t="s">
        <v>558</v>
      </c>
      <c r="R11" s="50"/>
      <c r="S11" s="50"/>
      <c r="T11" s="51"/>
      <c r="U11" s="299"/>
      <c r="V11" s="9"/>
      <c r="W11" s="9"/>
      <c r="X11" s="10"/>
    </row>
    <row r="12" ht="15.75" customHeight="1">
      <c r="A12" s="282" t="s">
        <v>514</v>
      </c>
      <c r="B12" s="278"/>
      <c r="C12" s="278"/>
      <c r="D12" s="278"/>
      <c r="E12" s="279"/>
      <c r="F12" s="282"/>
      <c r="G12" s="278"/>
      <c r="H12" s="278"/>
      <c r="I12" s="278"/>
      <c r="J12" s="278"/>
      <c r="K12" s="278"/>
      <c r="L12" s="278"/>
      <c r="M12" s="278"/>
      <c r="N12" s="278"/>
      <c r="O12" s="278"/>
      <c r="P12" s="278"/>
      <c r="Q12" s="156"/>
      <c r="R12" s="50"/>
      <c r="S12" s="50"/>
      <c r="T12" s="51"/>
      <c r="U12" s="301"/>
      <c r="V12" s="278"/>
      <c r="W12" s="278"/>
      <c r="X12" s="279"/>
    </row>
    <row r="13" ht="15.75" customHeight="1">
      <c r="A13" s="282" t="s">
        <v>545</v>
      </c>
      <c r="B13" s="278"/>
      <c r="C13" s="278"/>
      <c r="D13" s="278"/>
      <c r="E13" s="279"/>
      <c r="F13" s="282"/>
      <c r="G13" s="278"/>
      <c r="H13" s="278"/>
      <c r="I13" s="278"/>
      <c r="J13" s="278"/>
      <c r="K13" s="278"/>
      <c r="L13" s="278"/>
      <c r="M13" s="278"/>
      <c r="N13" s="278"/>
      <c r="O13" s="278"/>
      <c r="P13" s="278"/>
      <c r="Q13" s="278"/>
      <c r="R13" s="278"/>
      <c r="S13" s="278"/>
      <c r="T13" s="278"/>
      <c r="U13" s="278"/>
      <c r="V13" s="278"/>
      <c r="W13" s="278"/>
      <c r="X13" s="279"/>
    </row>
    <row r="14" ht="15.75" customHeight="1">
      <c r="A14" s="283"/>
      <c r="B14" s="81"/>
      <c r="C14" s="81"/>
      <c r="D14" s="81"/>
      <c r="E14" s="81"/>
      <c r="F14" s="81"/>
      <c r="G14" s="81"/>
      <c r="H14" s="81"/>
      <c r="I14" s="81"/>
      <c r="J14" s="81"/>
      <c r="K14" s="81"/>
      <c r="L14" s="81"/>
      <c r="M14" s="81"/>
      <c r="N14" s="81"/>
      <c r="O14" s="81"/>
      <c r="P14" s="81"/>
      <c r="Q14" s="81"/>
      <c r="R14" s="81"/>
      <c r="S14" s="81"/>
      <c r="T14" s="81"/>
      <c r="U14" s="81"/>
      <c r="V14" s="81"/>
      <c r="W14" s="81"/>
      <c r="X14" s="82"/>
    </row>
    <row r="15" ht="15.75" customHeight="1">
      <c r="A15" s="296" t="s">
        <v>546</v>
      </c>
      <c r="B15" s="9"/>
      <c r="C15" s="9"/>
      <c r="D15" s="9"/>
      <c r="E15" s="9"/>
      <c r="F15" s="9"/>
      <c r="G15" s="9"/>
      <c r="H15" s="9"/>
      <c r="I15" s="9"/>
      <c r="J15" s="9"/>
      <c r="K15" s="9"/>
      <c r="L15" s="9"/>
      <c r="M15" s="9"/>
      <c r="N15" s="9"/>
      <c r="O15" s="9"/>
      <c r="P15" s="9"/>
      <c r="Q15" s="9"/>
      <c r="R15" s="9"/>
      <c r="S15" s="9"/>
      <c r="T15" s="9"/>
      <c r="U15" s="9"/>
      <c r="V15" s="9"/>
      <c r="W15" s="9"/>
      <c r="X15" s="10"/>
    </row>
    <row r="16" ht="15.75" customHeight="1">
      <c r="A16" s="271" t="s">
        <v>112</v>
      </c>
      <c r="B16" s="272" t="s">
        <v>566</v>
      </c>
      <c r="C16" s="50"/>
      <c r="D16" s="50"/>
      <c r="E16" s="51"/>
      <c r="F16" s="272" t="s">
        <v>567</v>
      </c>
      <c r="G16" s="50"/>
      <c r="H16" s="50"/>
      <c r="I16" s="50"/>
      <c r="J16" s="50"/>
      <c r="K16" s="51"/>
      <c r="L16" s="272" t="s">
        <v>568</v>
      </c>
      <c r="M16" s="50"/>
      <c r="N16" s="51"/>
      <c r="O16" s="272" t="s">
        <v>569</v>
      </c>
      <c r="P16" s="50"/>
      <c r="Q16" s="51"/>
      <c r="R16" s="272" t="s">
        <v>570</v>
      </c>
      <c r="S16" s="50"/>
      <c r="T16" s="50"/>
      <c r="U16" s="50"/>
      <c r="V16" s="51"/>
      <c r="W16" s="272" t="s">
        <v>571</v>
      </c>
      <c r="X16" s="51"/>
    </row>
    <row r="17" ht="15.75" customHeight="1">
      <c r="A17" s="315">
        <v>2.1</v>
      </c>
      <c r="B17" s="316" t="s">
        <v>572</v>
      </c>
      <c r="C17" s="317"/>
      <c r="D17" s="317"/>
      <c r="E17" s="318"/>
      <c r="F17" s="316" t="s">
        <v>573</v>
      </c>
      <c r="G17" s="317"/>
      <c r="H17" s="317"/>
      <c r="I17" s="317"/>
      <c r="J17" s="317"/>
      <c r="K17" s="318"/>
      <c r="L17" s="316"/>
      <c r="M17" s="317"/>
      <c r="N17" s="318"/>
      <c r="O17" s="316"/>
      <c r="P17" s="317"/>
      <c r="Q17" s="318"/>
      <c r="R17" s="316"/>
      <c r="S17" s="317"/>
      <c r="T17" s="317"/>
      <c r="U17" s="317"/>
      <c r="V17" s="318"/>
      <c r="W17" s="316"/>
      <c r="X17" s="319"/>
    </row>
    <row r="18" ht="15.75" customHeight="1">
      <c r="A18" s="320">
        <v>2.2</v>
      </c>
      <c r="B18" s="321" t="s">
        <v>572</v>
      </c>
      <c r="C18" s="322"/>
      <c r="D18" s="322"/>
      <c r="E18" s="323"/>
      <c r="F18" s="321" t="s">
        <v>574</v>
      </c>
      <c r="G18" s="322"/>
      <c r="H18" s="322"/>
      <c r="I18" s="322"/>
      <c r="J18" s="322"/>
      <c r="K18" s="323"/>
      <c r="L18" s="321"/>
      <c r="M18" s="322"/>
      <c r="N18" s="323"/>
      <c r="O18" s="321"/>
      <c r="P18" s="322"/>
      <c r="Q18" s="323"/>
      <c r="R18" s="321"/>
      <c r="S18" s="322"/>
      <c r="T18" s="322"/>
      <c r="U18" s="322"/>
      <c r="V18" s="323"/>
      <c r="W18" s="321"/>
      <c r="X18" s="324"/>
    </row>
    <row r="19" ht="15.75" customHeight="1">
      <c r="A19" s="320">
        <v>2.2</v>
      </c>
      <c r="B19" s="321" t="s">
        <v>572</v>
      </c>
      <c r="C19" s="322"/>
      <c r="D19" s="322"/>
      <c r="E19" s="323"/>
      <c r="F19" s="321" t="s">
        <v>574</v>
      </c>
      <c r="G19" s="322"/>
      <c r="H19" s="322"/>
      <c r="I19" s="322"/>
      <c r="J19" s="322"/>
      <c r="K19" s="323"/>
      <c r="L19" s="321"/>
      <c r="M19" s="322"/>
      <c r="N19" s="323"/>
      <c r="O19" s="321"/>
      <c r="P19" s="322"/>
      <c r="Q19" s="323"/>
      <c r="R19" s="321"/>
      <c r="S19" s="322"/>
      <c r="T19" s="322"/>
      <c r="U19" s="322"/>
      <c r="V19" s="323"/>
      <c r="W19" s="321"/>
      <c r="X19" s="324"/>
    </row>
    <row r="20" ht="15.75" customHeight="1">
      <c r="A20" s="320">
        <v>2.3</v>
      </c>
      <c r="B20" s="321" t="s">
        <v>575</v>
      </c>
      <c r="C20" s="322"/>
      <c r="D20" s="322"/>
      <c r="E20" s="323"/>
      <c r="F20" s="321" t="s">
        <v>576</v>
      </c>
      <c r="G20" s="322"/>
      <c r="H20" s="322"/>
      <c r="I20" s="322"/>
      <c r="J20" s="322"/>
      <c r="K20" s="323"/>
      <c r="L20" s="321"/>
      <c r="M20" s="322"/>
      <c r="N20" s="323"/>
      <c r="O20" s="321"/>
      <c r="P20" s="322"/>
      <c r="Q20" s="323"/>
      <c r="R20" s="321"/>
      <c r="S20" s="322"/>
      <c r="T20" s="322"/>
      <c r="U20" s="322"/>
      <c r="V20" s="323"/>
      <c r="W20" s="321"/>
      <c r="X20" s="324"/>
    </row>
    <row r="21" ht="15.75" customHeight="1">
      <c r="A21" s="320">
        <v>2.4</v>
      </c>
      <c r="B21" s="321" t="s">
        <v>575</v>
      </c>
      <c r="C21" s="322"/>
      <c r="D21" s="322"/>
      <c r="E21" s="323"/>
      <c r="F21" s="321" t="s">
        <v>574</v>
      </c>
      <c r="G21" s="322"/>
      <c r="H21" s="322"/>
      <c r="I21" s="322"/>
      <c r="J21" s="322"/>
      <c r="K21" s="323"/>
      <c r="L21" s="321"/>
      <c r="M21" s="322"/>
      <c r="N21" s="323"/>
      <c r="O21" s="321"/>
      <c r="P21" s="322"/>
      <c r="Q21" s="323"/>
      <c r="R21" s="321"/>
      <c r="S21" s="322"/>
      <c r="T21" s="322"/>
      <c r="U21" s="322"/>
      <c r="V21" s="323"/>
      <c r="W21" s="321"/>
      <c r="X21" s="324"/>
    </row>
    <row r="22" ht="15.75" customHeight="1">
      <c r="A22" s="320">
        <v>2.5</v>
      </c>
      <c r="B22" s="321" t="s">
        <v>577</v>
      </c>
      <c r="C22" s="322"/>
      <c r="D22" s="322"/>
      <c r="E22" s="323"/>
      <c r="F22" s="321" t="s">
        <v>578</v>
      </c>
      <c r="G22" s="322"/>
      <c r="H22" s="322"/>
      <c r="I22" s="322"/>
      <c r="J22" s="322"/>
      <c r="K22" s="323"/>
      <c r="L22" s="321"/>
      <c r="M22" s="322"/>
      <c r="N22" s="323"/>
      <c r="O22" s="321"/>
      <c r="P22" s="322"/>
      <c r="Q22" s="323"/>
      <c r="R22" s="321"/>
      <c r="S22" s="322"/>
      <c r="T22" s="322"/>
      <c r="U22" s="322"/>
      <c r="V22" s="323"/>
      <c r="W22" s="321"/>
      <c r="X22" s="324"/>
    </row>
    <row r="23" ht="15.75" customHeight="1">
      <c r="A23" s="320">
        <v>2.6</v>
      </c>
      <c r="B23" s="321" t="s">
        <v>579</v>
      </c>
      <c r="C23" s="322"/>
      <c r="D23" s="322"/>
      <c r="E23" s="323"/>
      <c r="F23" s="321" t="s">
        <v>580</v>
      </c>
      <c r="G23" s="322"/>
      <c r="H23" s="322"/>
      <c r="I23" s="322"/>
      <c r="J23" s="322"/>
      <c r="K23" s="323"/>
      <c r="L23" s="321"/>
      <c r="M23" s="322"/>
      <c r="N23" s="323"/>
      <c r="O23" s="321"/>
      <c r="P23" s="322"/>
      <c r="Q23" s="323"/>
      <c r="R23" s="321"/>
      <c r="S23" s="322"/>
      <c r="T23" s="322"/>
      <c r="U23" s="322"/>
      <c r="V23" s="323"/>
      <c r="W23" s="321"/>
      <c r="X23" s="324"/>
    </row>
    <row r="24" ht="15.75" customHeight="1">
      <c r="A24" s="320"/>
      <c r="B24" s="321"/>
      <c r="C24" s="322"/>
      <c r="D24" s="322"/>
      <c r="E24" s="323"/>
      <c r="F24" s="321"/>
      <c r="G24" s="322"/>
      <c r="H24" s="322"/>
      <c r="I24" s="322"/>
      <c r="J24" s="322"/>
      <c r="K24" s="323"/>
      <c r="L24" s="321"/>
      <c r="M24" s="322"/>
      <c r="N24" s="323"/>
      <c r="O24" s="321"/>
      <c r="P24" s="322"/>
      <c r="Q24" s="323"/>
      <c r="R24" s="321"/>
      <c r="S24" s="322"/>
      <c r="T24" s="322"/>
      <c r="U24" s="322"/>
      <c r="V24" s="323"/>
      <c r="W24" s="321"/>
      <c r="X24" s="324"/>
    </row>
    <row r="25" ht="15.75" customHeight="1">
      <c r="A25" s="320"/>
      <c r="B25" s="321"/>
      <c r="C25" s="322"/>
      <c r="D25" s="322"/>
      <c r="E25" s="323"/>
      <c r="F25" s="321"/>
      <c r="G25" s="322"/>
      <c r="H25" s="322"/>
      <c r="I25" s="322"/>
      <c r="J25" s="322"/>
      <c r="K25" s="323"/>
      <c r="L25" s="321"/>
      <c r="M25" s="322"/>
      <c r="N25" s="323"/>
      <c r="O25" s="321"/>
      <c r="P25" s="322"/>
      <c r="Q25" s="323"/>
      <c r="R25" s="321"/>
      <c r="S25" s="322"/>
      <c r="T25" s="322"/>
      <c r="U25" s="322"/>
      <c r="V25" s="323"/>
      <c r="W25" s="321"/>
      <c r="X25" s="324"/>
    </row>
    <row r="26" ht="15.75" customHeight="1">
      <c r="A26" s="320"/>
      <c r="B26" s="321"/>
      <c r="C26" s="322"/>
      <c r="D26" s="322"/>
      <c r="E26" s="323"/>
      <c r="F26" s="321"/>
      <c r="G26" s="322"/>
      <c r="H26" s="322"/>
      <c r="I26" s="322"/>
      <c r="J26" s="322"/>
      <c r="K26" s="323"/>
      <c r="L26" s="321"/>
      <c r="M26" s="322"/>
      <c r="N26" s="323"/>
      <c r="O26" s="321"/>
      <c r="P26" s="322"/>
      <c r="Q26" s="323"/>
      <c r="R26" s="321"/>
      <c r="S26" s="322"/>
      <c r="T26" s="322"/>
      <c r="U26" s="322"/>
      <c r="V26" s="323"/>
      <c r="W26" s="321"/>
      <c r="X26" s="324"/>
    </row>
    <row r="27" ht="15.75" customHeight="1">
      <c r="A27" s="320"/>
      <c r="B27" s="321"/>
      <c r="C27" s="322"/>
      <c r="D27" s="322"/>
      <c r="E27" s="323"/>
      <c r="F27" s="321"/>
      <c r="G27" s="322"/>
      <c r="H27" s="322"/>
      <c r="I27" s="322"/>
      <c r="J27" s="322"/>
      <c r="K27" s="323"/>
      <c r="L27" s="321"/>
      <c r="M27" s="322"/>
      <c r="N27" s="323"/>
      <c r="O27" s="321"/>
      <c r="P27" s="322"/>
      <c r="Q27" s="323"/>
      <c r="R27" s="321"/>
      <c r="S27" s="322"/>
      <c r="T27" s="322"/>
      <c r="U27" s="322"/>
      <c r="V27" s="323"/>
      <c r="W27" s="321"/>
      <c r="X27" s="324"/>
    </row>
    <row r="28" ht="15.75" customHeight="1">
      <c r="A28" s="320"/>
      <c r="B28" s="321"/>
      <c r="C28" s="322"/>
      <c r="D28" s="322"/>
      <c r="E28" s="323"/>
      <c r="F28" s="321"/>
      <c r="G28" s="322"/>
      <c r="H28" s="322"/>
      <c r="I28" s="322"/>
      <c r="J28" s="322"/>
      <c r="K28" s="323"/>
      <c r="L28" s="321"/>
      <c r="M28" s="322"/>
      <c r="N28" s="323"/>
      <c r="O28" s="321"/>
      <c r="P28" s="322"/>
      <c r="Q28" s="323"/>
      <c r="R28" s="321"/>
      <c r="S28" s="322"/>
      <c r="T28" s="322"/>
      <c r="U28" s="322"/>
      <c r="V28" s="323"/>
      <c r="W28" s="321"/>
      <c r="X28" s="324"/>
    </row>
    <row r="29" ht="15.75" customHeight="1">
      <c r="A29" s="325"/>
      <c r="B29" s="326"/>
      <c r="C29" s="327"/>
      <c r="D29" s="327"/>
      <c r="E29" s="328"/>
      <c r="F29" s="326"/>
      <c r="G29" s="327"/>
      <c r="H29" s="327"/>
      <c r="I29" s="327"/>
      <c r="J29" s="327"/>
      <c r="K29" s="328"/>
      <c r="L29" s="326"/>
      <c r="M29" s="327"/>
      <c r="N29" s="328"/>
      <c r="O29" s="326"/>
      <c r="P29" s="327"/>
      <c r="Q29" s="328"/>
      <c r="R29" s="326"/>
      <c r="S29" s="327"/>
      <c r="T29" s="327"/>
      <c r="U29" s="327"/>
      <c r="V29" s="328"/>
      <c r="W29" s="326"/>
      <c r="X29" s="329"/>
    </row>
    <row r="30" ht="15.75" customHeight="1">
      <c r="A30" s="160" t="s">
        <v>581</v>
      </c>
      <c r="B30" s="50"/>
      <c r="C30" s="50"/>
      <c r="D30" s="50"/>
      <c r="E30" s="50"/>
      <c r="F30" s="50"/>
      <c r="G30" s="50"/>
      <c r="H30" s="50"/>
      <c r="I30" s="50"/>
      <c r="J30" s="50"/>
      <c r="K30" s="50"/>
      <c r="L30" s="50"/>
      <c r="M30" s="50"/>
      <c r="N30" s="50"/>
      <c r="O30" s="50"/>
      <c r="P30" s="50"/>
      <c r="Q30" s="50"/>
      <c r="R30" s="50"/>
      <c r="S30" s="50"/>
      <c r="T30" s="50"/>
      <c r="U30" s="50"/>
      <c r="V30" s="50"/>
      <c r="W30" s="50"/>
      <c r="X30" s="51"/>
    </row>
    <row r="31" ht="15.75" customHeight="1">
      <c r="A31" s="271" t="s">
        <v>112</v>
      </c>
      <c r="B31" s="272" t="s">
        <v>582</v>
      </c>
      <c r="C31" s="50"/>
      <c r="D31" s="50"/>
      <c r="E31" s="50"/>
      <c r="F31" s="50"/>
      <c r="G31" s="50"/>
      <c r="H31" s="50"/>
      <c r="I31" s="50"/>
      <c r="J31" s="50"/>
      <c r="K31" s="51"/>
      <c r="L31" s="284" t="s">
        <v>548</v>
      </c>
      <c r="M31" s="50"/>
      <c r="N31" s="50"/>
      <c r="O31" s="51"/>
      <c r="P31" s="284" t="s">
        <v>583</v>
      </c>
      <c r="Q31" s="50"/>
      <c r="R31" s="50"/>
      <c r="S31" s="50"/>
      <c r="T31" s="50"/>
      <c r="U31" s="50"/>
      <c r="V31" s="50"/>
      <c r="W31" s="50"/>
      <c r="X31" s="51"/>
    </row>
    <row r="32" ht="15.75" customHeight="1">
      <c r="A32" s="285">
        <v>31.0</v>
      </c>
      <c r="B32" s="286" t="s">
        <v>584</v>
      </c>
      <c r="C32" s="260"/>
      <c r="D32" s="260"/>
      <c r="E32" s="260"/>
      <c r="F32" s="260"/>
      <c r="G32" s="260"/>
      <c r="H32" s="260"/>
      <c r="I32" s="260"/>
      <c r="J32" s="260"/>
      <c r="K32" s="260"/>
      <c r="L32" s="302"/>
      <c r="M32" s="218"/>
      <c r="N32" s="218"/>
      <c r="O32" s="218"/>
      <c r="P32" s="287"/>
      <c r="Q32" s="260"/>
      <c r="R32" s="260"/>
      <c r="S32" s="260"/>
      <c r="T32" s="260"/>
      <c r="U32" s="260"/>
      <c r="V32" s="260"/>
      <c r="W32" s="260"/>
      <c r="X32" s="263"/>
    </row>
    <row r="33" ht="15.75" customHeight="1">
      <c r="A33" s="242">
        <v>3.2</v>
      </c>
      <c r="B33" s="243" t="s">
        <v>585</v>
      </c>
      <c r="C33" s="245"/>
      <c r="D33" s="245"/>
      <c r="E33" s="245"/>
      <c r="F33" s="245"/>
      <c r="G33" s="245"/>
      <c r="H33" s="245"/>
      <c r="I33" s="245"/>
      <c r="J33" s="245"/>
      <c r="K33" s="245"/>
      <c r="L33" s="266"/>
      <c r="M33" s="245"/>
      <c r="N33" s="245"/>
      <c r="O33" s="245"/>
      <c r="P33" s="244"/>
      <c r="Q33" s="245"/>
      <c r="R33" s="245"/>
      <c r="S33" s="245"/>
      <c r="T33" s="245"/>
      <c r="U33" s="245"/>
      <c r="V33" s="245"/>
      <c r="W33" s="245"/>
      <c r="X33" s="247"/>
    </row>
    <row r="34" ht="15.75" customHeight="1">
      <c r="A34" s="242">
        <v>3.3</v>
      </c>
      <c r="B34" s="243" t="s">
        <v>586</v>
      </c>
      <c r="C34" s="245"/>
      <c r="D34" s="245"/>
      <c r="E34" s="245"/>
      <c r="F34" s="245"/>
      <c r="G34" s="245"/>
      <c r="H34" s="245"/>
      <c r="I34" s="245"/>
      <c r="J34" s="245"/>
      <c r="K34" s="245"/>
      <c r="L34" s="266"/>
      <c r="M34" s="245"/>
      <c r="N34" s="245"/>
      <c r="O34" s="245"/>
      <c r="P34" s="244"/>
      <c r="Q34" s="245"/>
      <c r="R34" s="245"/>
      <c r="S34" s="245"/>
      <c r="T34" s="245"/>
      <c r="U34" s="245"/>
      <c r="V34" s="245"/>
      <c r="W34" s="245"/>
      <c r="X34" s="247"/>
    </row>
    <row r="35" ht="15.75" customHeight="1">
      <c r="A35" s="242">
        <v>3.4</v>
      </c>
      <c r="B35" s="243"/>
      <c r="C35" s="245"/>
      <c r="D35" s="245"/>
      <c r="E35" s="245"/>
      <c r="F35" s="245"/>
      <c r="G35" s="245"/>
      <c r="H35" s="245"/>
      <c r="I35" s="245"/>
      <c r="J35" s="245"/>
      <c r="K35" s="245"/>
      <c r="L35" s="266"/>
      <c r="M35" s="245"/>
      <c r="N35" s="245"/>
      <c r="O35" s="245"/>
      <c r="P35" s="244"/>
      <c r="Q35" s="245"/>
      <c r="R35" s="245"/>
      <c r="S35" s="245"/>
      <c r="T35" s="245"/>
      <c r="U35" s="245"/>
      <c r="V35" s="245"/>
      <c r="W35" s="245"/>
      <c r="X35" s="247"/>
    </row>
    <row r="36" ht="15.75" customHeight="1">
      <c r="A36" s="248">
        <v>3.4</v>
      </c>
      <c r="B36" s="243"/>
      <c r="C36" s="245"/>
      <c r="D36" s="245"/>
      <c r="E36" s="245"/>
      <c r="F36" s="245"/>
      <c r="G36" s="245"/>
      <c r="H36" s="245"/>
      <c r="I36" s="245"/>
      <c r="J36" s="245"/>
      <c r="K36" s="245"/>
      <c r="L36" s="266"/>
      <c r="M36" s="245"/>
      <c r="N36" s="245"/>
      <c r="O36" s="245"/>
      <c r="P36" s="244"/>
      <c r="Q36" s="245"/>
      <c r="R36" s="245"/>
      <c r="S36" s="245"/>
      <c r="T36" s="245"/>
      <c r="U36" s="245"/>
      <c r="V36" s="245"/>
      <c r="W36" s="245"/>
      <c r="X36" s="247"/>
    </row>
    <row r="37" ht="15.75" customHeight="1">
      <c r="A37" s="242">
        <v>2.2</v>
      </c>
      <c r="B37" s="243" t="s">
        <v>587</v>
      </c>
      <c r="C37" s="245"/>
      <c r="D37" s="245"/>
      <c r="E37" s="245"/>
      <c r="F37" s="245"/>
      <c r="G37" s="245"/>
      <c r="H37" s="245"/>
      <c r="I37" s="245"/>
      <c r="J37" s="245"/>
      <c r="K37" s="245"/>
      <c r="L37" s="266"/>
      <c r="M37" s="245"/>
      <c r="N37" s="245"/>
      <c r="O37" s="245"/>
      <c r="P37" s="244"/>
      <c r="Q37" s="245"/>
      <c r="R37" s="245"/>
      <c r="S37" s="245"/>
      <c r="T37" s="245"/>
      <c r="U37" s="245"/>
      <c r="V37" s="245"/>
      <c r="W37" s="245"/>
      <c r="X37" s="247"/>
    </row>
    <row r="38" ht="15.75" customHeight="1">
      <c r="A38" s="242">
        <v>2.3</v>
      </c>
      <c r="B38" s="243"/>
      <c r="C38" s="245"/>
      <c r="D38" s="245"/>
      <c r="E38" s="245"/>
      <c r="F38" s="245"/>
      <c r="G38" s="245"/>
      <c r="H38" s="245"/>
      <c r="I38" s="245"/>
      <c r="J38" s="245"/>
      <c r="K38" s="245"/>
      <c r="L38" s="266"/>
      <c r="M38" s="245"/>
      <c r="N38" s="245"/>
      <c r="O38" s="245"/>
      <c r="P38" s="244"/>
      <c r="Q38" s="245"/>
      <c r="R38" s="245"/>
      <c r="S38" s="245"/>
      <c r="T38" s="245"/>
      <c r="U38" s="245"/>
      <c r="V38" s="245"/>
      <c r="W38" s="245"/>
      <c r="X38" s="247"/>
    </row>
    <row r="39" ht="15.75" customHeight="1">
      <c r="A39" s="242">
        <v>2.4</v>
      </c>
      <c r="B39" s="243"/>
      <c r="C39" s="245"/>
      <c r="D39" s="245"/>
      <c r="E39" s="245"/>
      <c r="F39" s="245"/>
      <c r="G39" s="245"/>
      <c r="H39" s="245"/>
      <c r="I39" s="245"/>
      <c r="J39" s="245"/>
      <c r="K39" s="245"/>
      <c r="L39" s="266"/>
      <c r="M39" s="245"/>
      <c r="N39" s="245"/>
      <c r="O39" s="245"/>
      <c r="P39" s="244"/>
      <c r="Q39" s="245"/>
      <c r="R39" s="245"/>
      <c r="S39" s="245"/>
      <c r="T39" s="245"/>
      <c r="U39" s="245"/>
      <c r="V39" s="245"/>
      <c r="W39" s="245"/>
      <c r="X39" s="247"/>
    </row>
    <row r="40" ht="15.75" customHeight="1">
      <c r="A40" s="248"/>
      <c r="B40" s="243"/>
      <c r="C40" s="245"/>
      <c r="D40" s="245"/>
      <c r="E40" s="245"/>
      <c r="F40" s="245"/>
      <c r="G40" s="245"/>
      <c r="H40" s="245"/>
      <c r="I40" s="245"/>
      <c r="J40" s="245"/>
      <c r="K40" s="245"/>
      <c r="L40" s="266"/>
      <c r="M40" s="245"/>
      <c r="N40" s="245"/>
      <c r="O40" s="245"/>
      <c r="P40" s="244"/>
      <c r="Q40" s="245"/>
      <c r="R40" s="245"/>
      <c r="S40" s="245"/>
      <c r="T40" s="245"/>
      <c r="U40" s="245"/>
      <c r="V40" s="245"/>
      <c r="W40" s="245"/>
      <c r="X40" s="247"/>
    </row>
    <row r="41" ht="15.75" customHeight="1">
      <c r="A41" s="242"/>
      <c r="B41" s="243"/>
      <c r="C41" s="245"/>
      <c r="D41" s="245"/>
      <c r="E41" s="245"/>
      <c r="F41" s="245"/>
      <c r="G41" s="245"/>
      <c r="H41" s="245"/>
      <c r="I41" s="245"/>
      <c r="J41" s="245"/>
      <c r="K41" s="245"/>
      <c r="L41" s="266"/>
      <c r="M41" s="245"/>
      <c r="N41" s="245"/>
      <c r="O41" s="245"/>
      <c r="P41" s="244"/>
      <c r="Q41" s="245"/>
      <c r="R41" s="245"/>
      <c r="S41" s="245"/>
      <c r="T41" s="245"/>
      <c r="U41" s="245"/>
      <c r="V41" s="245"/>
      <c r="W41" s="245"/>
      <c r="X41" s="247"/>
    </row>
    <row r="42" ht="15.75" customHeight="1">
      <c r="A42" s="242"/>
      <c r="B42" s="243"/>
      <c r="C42" s="245"/>
      <c r="D42" s="245"/>
      <c r="E42" s="245"/>
      <c r="F42" s="245"/>
      <c r="G42" s="245"/>
      <c r="H42" s="245"/>
      <c r="I42" s="245"/>
      <c r="J42" s="245"/>
      <c r="K42" s="245"/>
      <c r="L42" s="266"/>
      <c r="M42" s="245"/>
      <c r="N42" s="245"/>
      <c r="O42" s="245"/>
      <c r="P42" s="244"/>
      <c r="Q42" s="245"/>
      <c r="R42" s="245"/>
      <c r="S42" s="245"/>
      <c r="T42" s="245"/>
      <c r="U42" s="245"/>
      <c r="V42" s="245"/>
      <c r="W42" s="245"/>
      <c r="X42" s="247"/>
    </row>
    <row r="43" ht="15.75" customHeight="1">
      <c r="A43" s="248"/>
      <c r="B43" s="249"/>
      <c r="C43" s="251"/>
      <c r="D43" s="251"/>
      <c r="E43" s="251"/>
      <c r="F43" s="251"/>
      <c r="G43" s="251"/>
      <c r="H43" s="251"/>
      <c r="I43" s="251"/>
      <c r="J43" s="251"/>
      <c r="K43" s="251"/>
      <c r="L43" s="275"/>
      <c r="M43" s="251"/>
      <c r="N43" s="251"/>
      <c r="O43" s="251"/>
      <c r="P43" s="250"/>
      <c r="Q43" s="251"/>
      <c r="R43" s="251"/>
      <c r="S43" s="251"/>
      <c r="T43" s="251"/>
      <c r="U43" s="251"/>
      <c r="V43" s="251"/>
      <c r="W43" s="251"/>
      <c r="X43" s="276"/>
    </row>
    <row r="44" ht="15.75" customHeight="1">
      <c r="A44" s="160" t="s">
        <v>557</v>
      </c>
      <c r="B44" s="50"/>
      <c r="C44" s="50"/>
      <c r="D44" s="50"/>
      <c r="E44" s="50"/>
      <c r="F44" s="50"/>
      <c r="G44" s="50"/>
      <c r="H44" s="50"/>
      <c r="I44" s="50"/>
      <c r="J44" s="50"/>
      <c r="K44" s="50"/>
      <c r="L44" s="50"/>
      <c r="M44" s="50"/>
      <c r="N44" s="50"/>
      <c r="O44" s="50"/>
      <c r="P44" s="50"/>
      <c r="Q44" s="50"/>
      <c r="R44" s="50"/>
      <c r="S44" s="50"/>
      <c r="T44" s="50"/>
      <c r="U44" s="50"/>
      <c r="V44" s="50"/>
      <c r="W44" s="50"/>
      <c r="X44" s="51"/>
    </row>
    <row r="45" ht="15.75" customHeight="1">
      <c r="A45" s="303" t="s">
        <v>588</v>
      </c>
      <c r="B45" s="119"/>
      <c r="C45" s="119"/>
      <c r="D45" s="119"/>
      <c r="E45" s="119"/>
      <c r="F45" s="120"/>
      <c r="G45" s="304"/>
      <c r="H45" s="119"/>
      <c r="I45" s="119"/>
      <c r="J45" s="119"/>
      <c r="K45" s="119"/>
      <c r="L45" s="119"/>
      <c r="M45" s="119"/>
      <c r="N45" s="119"/>
      <c r="O45" s="184"/>
      <c r="P45" s="305" t="s">
        <v>559</v>
      </c>
      <c r="Q45" s="119"/>
      <c r="R45" s="119"/>
      <c r="S45" s="184"/>
      <c r="T45" s="306"/>
      <c r="U45" s="119"/>
      <c r="V45" s="119"/>
      <c r="W45" s="119"/>
      <c r="X45" s="185"/>
    </row>
    <row r="46" ht="15.75" customHeight="1">
      <c r="A46" s="307" t="s">
        <v>589</v>
      </c>
      <c r="B46" s="175"/>
      <c r="C46" s="175"/>
      <c r="D46" s="175"/>
      <c r="E46" s="175"/>
      <c r="F46" s="308"/>
      <c r="G46" s="309"/>
      <c r="H46" s="175"/>
      <c r="I46" s="175"/>
      <c r="J46" s="175"/>
      <c r="K46" s="175"/>
      <c r="L46" s="175"/>
      <c r="M46" s="175"/>
      <c r="N46" s="175"/>
      <c r="O46" s="175"/>
      <c r="P46" s="175"/>
      <c r="Q46" s="175"/>
      <c r="R46" s="175"/>
      <c r="S46" s="175"/>
      <c r="T46" s="175"/>
      <c r="U46" s="175"/>
      <c r="V46" s="175"/>
      <c r="W46" s="175"/>
      <c r="X46" s="177"/>
    </row>
    <row r="47" ht="15.75" customHeight="1">
      <c r="A47" s="310" t="s">
        <v>561</v>
      </c>
      <c r="B47" s="311"/>
      <c r="C47" s="311"/>
      <c r="D47" s="311"/>
      <c r="E47" s="311"/>
      <c r="F47" s="312"/>
      <c r="G47" s="313"/>
      <c r="H47" s="311"/>
      <c r="I47" s="311"/>
      <c r="J47" s="311"/>
      <c r="K47" s="311"/>
      <c r="L47" s="311"/>
      <c r="M47" s="311"/>
      <c r="N47" s="311"/>
      <c r="O47" s="311"/>
      <c r="P47" s="311"/>
      <c r="Q47" s="311"/>
      <c r="R47" s="311"/>
      <c r="S47" s="311"/>
      <c r="T47" s="311"/>
      <c r="U47" s="311"/>
      <c r="V47" s="311"/>
      <c r="W47" s="311"/>
      <c r="X47" s="31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9">
    <mergeCell ref="F29:K29"/>
    <mergeCell ref="L29:N29"/>
    <mergeCell ref="R29:V29"/>
    <mergeCell ref="W29:X29"/>
    <mergeCell ref="A30:X30"/>
    <mergeCell ref="L31:O31"/>
    <mergeCell ref="P31:X31"/>
    <mergeCell ref="B31:K31"/>
    <mergeCell ref="B32:K32"/>
    <mergeCell ref="L32:O32"/>
    <mergeCell ref="P32:X32"/>
    <mergeCell ref="B33:K33"/>
    <mergeCell ref="L33:O33"/>
    <mergeCell ref="P33:X33"/>
    <mergeCell ref="L42:O42"/>
    <mergeCell ref="P42:X42"/>
    <mergeCell ref="B40:K40"/>
    <mergeCell ref="L40:O40"/>
    <mergeCell ref="P40:X40"/>
    <mergeCell ref="B41:K41"/>
    <mergeCell ref="L41:O41"/>
    <mergeCell ref="P41:X41"/>
    <mergeCell ref="B42:K42"/>
    <mergeCell ref="G46:X46"/>
    <mergeCell ref="G47:X47"/>
    <mergeCell ref="B43:K43"/>
    <mergeCell ref="L43:O43"/>
    <mergeCell ref="P43:X43"/>
    <mergeCell ref="A44:X44"/>
    <mergeCell ref="G45:O45"/>
    <mergeCell ref="P45:S45"/>
    <mergeCell ref="T45:X45"/>
    <mergeCell ref="B22:E22"/>
    <mergeCell ref="F22:K22"/>
    <mergeCell ref="L22:N22"/>
    <mergeCell ref="O22:Q22"/>
    <mergeCell ref="R22:V22"/>
    <mergeCell ref="W22:X22"/>
    <mergeCell ref="B23:E23"/>
    <mergeCell ref="W23:X23"/>
    <mergeCell ref="F23:K23"/>
    <mergeCell ref="L23:N23"/>
    <mergeCell ref="F24:K24"/>
    <mergeCell ref="L24:N24"/>
    <mergeCell ref="O24:Q24"/>
    <mergeCell ref="R24:V24"/>
    <mergeCell ref="W24:X24"/>
    <mergeCell ref="B24:E24"/>
    <mergeCell ref="B25:E25"/>
    <mergeCell ref="F25:K25"/>
    <mergeCell ref="L25:N25"/>
    <mergeCell ref="O25:Q25"/>
    <mergeCell ref="R25:V25"/>
    <mergeCell ref="W25:X25"/>
    <mergeCell ref="O27:Q27"/>
    <mergeCell ref="R27:V27"/>
    <mergeCell ref="R28:V28"/>
    <mergeCell ref="W28:X28"/>
    <mergeCell ref="B26:E26"/>
    <mergeCell ref="F26:K26"/>
    <mergeCell ref="L26:N26"/>
    <mergeCell ref="O26:Q26"/>
    <mergeCell ref="R26:V26"/>
    <mergeCell ref="W26:X26"/>
    <mergeCell ref="B27:E27"/>
    <mergeCell ref="W27:X27"/>
    <mergeCell ref="F27:K27"/>
    <mergeCell ref="L27:N27"/>
    <mergeCell ref="B28:E28"/>
    <mergeCell ref="F28:K28"/>
    <mergeCell ref="L28:N28"/>
    <mergeCell ref="O28:Q28"/>
    <mergeCell ref="B29:E29"/>
    <mergeCell ref="O29:Q29"/>
    <mergeCell ref="A45:F45"/>
    <mergeCell ref="A46:F46"/>
    <mergeCell ref="A47:F47"/>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E10"/>
    <mergeCell ref="F10:P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2:E12"/>
    <mergeCell ref="A13:E13"/>
    <mergeCell ref="F20:K20"/>
    <mergeCell ref="L20:N20"/>
    <mergeCell ref="R20:V20"/>
    <mergeCell ref="W20:X20"/>
    <mergeCell ref="B20:E20"/>
    <mergeCell ref="B21:E21"/>
    <mergeCell ref="F21:K21"/>
    <mergeCell ref="L21:N21"/>
    <mergeCell ref="O21:Q21"/>
    <mergeCell ref="R21:V21"/>
    <mergeCell ref="W21:X21"/>
    <mergeCell ref="A11:E11"/>
    <mergeCell ref="F11:P11"/>
    <mergeCell ref="Q11:T11"/>
    <mergeCell ref="U11:X11"/>
    <mergeCell ref="F12:P12"/>
    <mergeCell ref="Q12:T12"/>
    <mergeCell ref="U12:X12"/>
    <mergeCell ref="R16:V16"/>
    <mergeCell ref="W16:X16"/>
    <mergeCell ref="F13:X13"/>
    <mergeCell ref="A14:X14"/>
    <mergeCell ref="A15:X15"/>
    <mergeCell ref="B16:E16"/>
    <mergeCell ref="F16:K16"/>
    <mergeCell ref="L16:N16"/>
    <mergeCell ref="O16:Q16"/>
    <mergeCell ref="O18:Q18"/>
    <mergeCell ref="R18:V18"/>
    <mergeCell ref="R19:V19"/>
    <mergeCell ref="W19:X19"/>
    <mergeCell ref="B17:E17"/>
    <mergeCell ref="F17:K17"/>
    <mergeCell ref="L17:N17"/>
    <mergeCell ref="O17:Q17"/>
    <mergeCell ref="R17:V17"/>
    <mergeCell ref="W17:X17"/>
    <mergeCell ref="B18:E18"/>
    <mergeCell ref="W18:X18"/>
    <mergeCell ref="F18:K18"/>
    <mergeCell ref="L18:N18"/>
    <mergeCell ref="B19:E19"/>
    <mergeCell ref="F19:K19"/>
    <mergeCell ref="L19:N19"/>
    <mergeCell ref="O19:Q19"/>
    <mergeCell ref="O20:Q20"/>
    <mergeCell ref="O23:Q23"/>
    <mergeCell ref="R23:V23"/>
    <mergeCell ref="L36:O36"/>
    <mergeCell ref="P36:X36"/>
    <mergeCell ref="B34:K34"/>
    <mergeCell ref="L34:O34"/>
    <mergeCell ref="P34:X34"/>
    <mergeCell ref="B35:K35"/>
    <mergeCell ref="L35:O35"/>
    <mergeCell ref="P35:X35"/>
    <mergeCell ref="B36:K36"/>
    <mergeCell ref="L39:O39"/>
    <mergeCell ref="P39:X39"/>
    <mergeCell ref="B37:K37"/>
    <mergeCell ref="L37:O37"/>
    <mergeCell ref="P37:X37"/>
    <mergeCell ref="B38:K38"/>
    <mergeCell ref="L38:O38"/>
    <mergeCell ref="P38:X38"/>
    <mergeCell ref="B39:K3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206" t="s">
        <v>0</v>
      </c>
      <c r="B1" s="207"/>
      <c r="C1" s="208"/>
      <c r="D1" s="207"/>
      <c r="E1" s="209" t="s">
        <v>1</v>
      </c>
      <c r="F1" s="207"/>
      <c r="G1" s="208" t="s">
        <v>79</v>
      </c>
      <c r="H1" s="207"/>
      <c r="I1" s="209" t="s">
        <v>2</v>
      </c>
      <c r="J1" s="207"/>
      <c r="K1" s="210"/>
      <c r="L1" s="207"/>
      <c r="M1" s="211" t="s">
        <v>3</v>
      </c>
      <c r="N1" s="207"/>
      <c r="O1" s="212">
        <v>4.0</v>
      </c>
      <c r="P1" s="207"/>
      <c r="Q1" s="209" t="s">
        <v>4</v>
      </c>
      <c r="R1" s="207"/>
      <c r="S1" s="208" t="s">
        <v>105</v>
      </c>
      <c r="T1" s="207"/>
      <c r="U1" s="213"/>
      <c r="V1" s="214"/>
      <c r="W1" s="214"/>
      <c r="X1" s="215"/>
    </row>
    <row r="2" ht="15.75" customHeight="1">
      <c r="A2" s="216" t="s">
        <v>5</v>
      </c>
      <c r="B2" s="12"/>
      <c r="C2" s="13"/>
      <c r="D2" s="12"/>
      <c r="E2" s="14" t="s">
        <v>6</v>
      </c>
      <c r="F2" s="12"/>
      <c r="G2" s="13"/>
      <c r="H2" s="12"/>
      <c r="I2" s="14" t="s">
        <v>7</v>
      </c>
      <c r="J2" s="12"/>
      <c r="K2" s="15"/>
      <c r="L2" s="12"/>
      <c r="M2" s="16" t="s">
        <v>8</v>
      </c>
      <c r="N2" s="12"/>
      <c r="O2" s="13" t="s">
        <v>9</v>
      </c>
      <c r="P2" s="12"/>
      <c r="Q2" s="14" t="s">
        <v>10</v>
      </c>
      <c r="R2" s="12"/>
      <c r="S2" s="13" t="s">
        <v>563</v>
      </c>
      <c r="T2" s="12"/>
      <c r="U2" s="217"/>
      <c r="V2" s="218"/>
      <c r="W2" s="218"/>
      <c r="X2" s="219"/>
    </row>
    <row r="3" ht="15.75" customHeight="1">
      <c r="A3" s="216" t="s">
        <v>11</v>
      </c>
      <c r="B3" s="12"/>
      <c r="C3" s="13"/>
      <c r="D3" s="12"/>
      <c r="E3" s="14" t="s">
        <v>12</v>
      </c>
      <c r="F3" s="12"/>
      <c r="G3" s="13" t="s">
        <v>135</v>
      </c>
      <c r="H3" s="12"/>
      <c r="I3" s="14" t="s">
        <v>13</v>
      </c>
      <c r="J3" s="12"/>
      <c r="K3" s="20"/>
      <c r="L3" s="12"/>
      <c r="M3" s="16" t="s">
        <v>14</v>
      </c>
      <c r="N3" s="12"/>
      <c r="O3" s="13" t="s">
        <v>15</v>
      </c>
      <c r="P3" s="12"/>
      <c r="Q3" s="14" t="s">
        <v>16</v>
      </c>
      <c r="R3" s="12"/>
      <c r="S3" s="13" t="s">
        <v>590</v>
      </c>
      <c r="T3" s="12"/>
      <c r="U3" s="220" t="s">
        <v>17</v>
      </c>
      <c r="V3" s="18"/>
      <c r="W3" s="18"/>
      <c r="X3" s="221"/>
    </row>
    <row r="4" ht="15.75" customHeight="1">
      <c r="A4" s="216" t="s">
        <v>18</v>
      </c>
      <c r="B4" s="12"/>
      <c r="C4" s="13" t="s">
        <v>107</v>
      </c>
      <c r="D4" s="12"/>
      <c r="E4" s="14" t="s">
        <v>20</v>
      </c>
      <c r="F4" s="12"/>
      <c r="G4" s="13" t="s">
        <v>79</v>
      </c>
      <c r="H4" s="12"/>
      <c r="I4" s="14" t="s">
        <v>21</v>
      </c>
      <c r="J4" s="12"/>
      <c r="K4" s="24"/>
      <c r="L4" s="25"/>
      <c r="M4" s="26" t="s">
        <v>22</v>
      </c>
      <c r="N4" s="27"/>
      <c r="O4" s="28">
        <v>0.0</v>
      </c>
      <c r="P4" s="27"/>
      <c r="Q4" s="14" t="s">
        <v>23</v>
      </c>
      <c r="R4" s="12"/>
      <c r="S4" s="20"/>
      <c r="T4" s="12"/>
      <c r="U4" s="29" t="s">
        <v>24</v>
      </c>
      <c r="V4" s="22"/>
      <c r="W4" s="22"/>
      <c r="X4" s="222"/>
    </row>
    <row r="5" ht="15.75" customHeight="1">
      <c r="A5" s="223" t="s">
        <v>25</v>
      </c>
      <c r="B5" s="27"/>
      <c r="C5" s="31"/>
      <c r="D5" s="27"/>
      <c r="E5" s="14" t="s">
        <v>27</v>
      </c>
      <c r="F5" s="12"/>
      <c r="G5" s="13" t="s">
        <v>78</v>
      </c>
      <c r="H5" s="12"/>
      <c r="I5" s="14" t="s">
        <v>28</v>
      </c>
      <c r="J5" s="12"/>
      <c r="K5" s="32"/>
      <c r="L5" s="33"/>
      <c r="M5" s="34"/>
      <c r="N5" s="35"/>
      <c r="O5" s="34"/>
      <c r="P5" s="35"/>
      <c r="Q5" s="36" t="s">
        <v>29</v>
      </c>
      <c r="R5" s="27"/>
      <c r="S5" s="37"/>
      <c r="T5" s="27"/>
      <c r="U5" s="38" t="s">
        <v>30</v>
      </c>
      <c r="V5" s="22"/>
      <c r="W5" s="22"/>
      <c r="X5" s="222"/>
    </row>
    <row r="6" ht="15.75" customHeight="1">
      <c r="A6" s="224"/>
      <c r="B6" s="225"/>
      <c r="C6" s="226"/>
      <c r="D6" s="225"/>
      <c r="E6" s="227" t="s">
        <v>31</v>
      </c>
      <c r="F6" s="228"/>
      <c r="G6" s="229" t="s">
        <v>137</v>
      </c>
      <c r="H6" s="228"/>
      <c r="I6" s="227" t="s">
        <v>32</v>
      </c>
      <c r="J6" s="228"/>
      <c r="K6" s="230"/>
      <c r="L6" s="228"/>
      <c r="M6" s="226"/>
      <c r="N6" s="225"/>
      <c r="O6" s="226"/>
      <c r="P6" s="225"/>
      <c r="Q6" s="226"/>
      <c r="R6" s="225"/>
      <c r="S6" s="226"/>
      <c r="T6" s="225"/>
      <c r="U6" s="231" t="s">
        <v>33</v>
      </c>
      <c r="V6" s="232"/>
      <c r="W6" s="232"/>
      <c r="X6" s="233"/>
    </row>
    <row r="7" ht="15.75" customHeight="1">
      <c r="A7" s="234" t="s">
        <v>311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542</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510</v>
      </c>
      <c r="B9" s="50"/>
      <c r="C9" s="50"/>
      <c r="D9" s="50"/>
      <c r="E9" s="50"/>
      <c r="F9" s="50"/>
      <c r="G9" s="50"/>
      <c r="H9" s="50"/>
      <c r="I9" s="50"/>
      <c r="J9" s="50"/>
      <c r="K9" s="50"/>
      <c r="L9" s="50"/>
      <c r="M9" s="50"/>
      <c r="N9" s="50"/>
      <c r="O9" s="50"/>
      <c r="P9" s="50"/>
      <c r="Q9" s="50"/>
      <c r="R9" s="50"/>
      <c r="S9" s="50"/>
      <c r="T9" s="50"/>
      <c r="U9" s="50"/>
      <c r="V9" s="50"/>
      <c r="W9" s="50"/>
      <c r="X9" s="51"/>
    </row>
    <row r="10" ht="15.75" customHeight="1">
      <c r="A10" s="235" t="s">
        <v>543</v>
      </c>
      <c r="B10" s="50"/>
      <c r="C10" s="50"/>
      <c r="D10" s="50"/>
      <c r="E10" s="51"/>
      <c r="F10" s="49"/>
      <c r="G10" s="50"/>
      <c r="H10" s="50"/>
      <c r="I10" s="50"/>
      <c r="J10" s="50"/>
      <c r="K10" s="50"/>
      <c r="L10" s="50"/>
      <c r="M10" s="50"/>
      <c r="N10" s="50"/>
      <c r="O10" s="50"/>
      <c r="P10" s="50"/>
      <c r="Q10" s="53" t="s">
        <v>512</v>
      </c>
      <c r="R10" s="50"/>
      <c r="S10" s="50"/>
      <c r="T10" s="51"/>
      <c r="U10" s="300"/>
      <c r="V10" s="50"/>
      <c r="W10" s="50"/>
      <c r="X10" s="51"/>
    </row>
    <row r="11" ht="15.75" customHeight="1">
      <c r="A11" s="281" t="s">
        <v>544</v>
      </c>
      <c r="B11" s="9"/>
      <c r="C11" s="9"/>
      <c r="D11" s="9"/>
      <c r="E11" s="10"/>
      <c r="F11" s="77"/>
      <c r="G11" s="9"/>
      <c r="H11" s="9"/>
      <c r="I11" s="9"/>
      <c r="J11" s="9"/>
      <c r="K11" s="9"/>
      <c r="L11" s="9"/>
      <c r="M11" s="9"/>
      <c r="N11" s="9"/>
      <c r="O11" s="9"/>
      <c r="P11" s="9"/>
      <c r="Q11" s="53" t="s">
        <v>558</v>
      </c>
      <c r="R11" s="50"/>
      <c r="S11" s="50"/>
      <c r="T11" s="51"/>
      <c r="U11" s="299"/>
      <c r="V11" s="9"/>
      <c r="W11" s="9"/>
      <c r="X11" s="10"/>
    </row>
    <row r="12" ht="15.75" customHeight="1">
      <c r="A12" s="282" t="s">
        <v>514</v>
      </c>
      <c r="B12" s="278"/>
      <c r="C12" s="278"/>
      <c r="D12" s="278"/>
      <c r="E12" s="279"/>
      <c r="F12" s="282"/>
      <c r="G12" s="278"/>
      <c r="H12" s="278"/>
      <c r="I12" s="278"/>
      <c r="J12" s="278"/>
      <c r="K12" s="278"/>
      <c r="L12" s="278"/>
      <c r="M12" s="278"/>
      <c r="N12" s="278"/>
      <c r="O12" s="278"/>
      <c r="P12" s="278"/>
      <c r="Q12" s="156"/>
      <c r="R12" s="50"/>
      <c r="S12" s="50"/>
      <c r="T12" s="51"/>
      <c r="U12" s="301"/>
      <c r="V12" s="278"/>
      <c r="W12" s="278"/>
      <c r="X12" s="279"/>
    </row>
    <row r="13" ht="15.75" customHeight="1">
      <c r="A13" s="282" t="s">
        <v>545</v>
      </c>
      <c r="B13" s="278"/>
      <c r="C13" s="278"/>
      <c r="D13" s="278"/>
      <c r="E13" s="279"/>
      <c r="F13" s="282"/>
      <c r="G13" s="278"/>
      <c r="H13" s="278"/>
      <c r="I13" s="278"/>
      <c r="J13" s="278"/>
      <c r="K13" s="278"/>
      <c r="L13" s="278"/>
      <c r="M13" s="278"/>
      <c r="N13" s="278"/>
      <c r="O13" s="278"/>
      <c r="P13" s="278"/>
      <c r="Q13" s="278"/>
      <c r="R13" s="278"/>
      <c r="S13" s="278"/>
      <c r="T13" s="278"/>
      <c r="U13" s="278"/>
      <c r="V13" s="278"/>
      <c r="W13" s="278"/>
      <c r="X13" s="279"/>
    </row>
    <row r="14" ht="15.75" customHeight="1">
      <c r="A14" s="283"/>
      <c r="B14" s="81"/>
      <c r="C14" s="81"/>
      <c r="D14" s="81"/>
      <c r="E14" s="81"/>
      <c r="F14" s="81"/>
      <c r="G14" s="81"/>
      <c r="H14" s="81"/>
      <c r="I14" s="81"/>
      <c r="J14" s="81"/>
      <c r="K14" s="81"/>
      <c r="L14" s="81"/>
      <c r="M14" s="81"/>
      <c r="N14" s="81"/>
      <c r="O14" s="81"/>
      <c r="P14" s="81"/>
      <c r="Q14" s="81"/>
      <c r="R14" s="81"/>
      <c r="S14" s="81"/>
      <c r="T14" s="81"/>
      <c r="U14" s="81"/>
      <c r="V14" s="81"/>
      <c r="W14" s="81"/>
      <c r="X14" s="82"/>
    </row>
    <row r="15" ht="15.75" customHeight="1">
      <c r="A15" s="296" t="s">
        <v>546</v>
      </c>
      <c r="B15" s="9"/>
      <c r="C15" s="9"/>
      <c r="D15" s="9"/>
      <c r="E15" s="9"/>
      <c r="F15" s="9"/>
      <c r="G15" s="9"/>
      <c r="H15" s="9"/>
      <c r="I15" s="9"/>
      <c r="J15" s="9"/>
      <c r="K15" s="9"/>
      <c r="L15" s="9"/>
      <c r="M15" s="9"/>
      <c r="N15" s="9"/>
      <c r="O15" s="9"/>
      <c r="P15" s="9"/>
      <c r="Q15" s="9"/>
      <c r="R15" s="9"/>
      <c r="S15" s="9"/>
      <c r="T15" s="9"/>
      <c r="U15" s="9"/>
      <c r="V15" s="9"/>
      <c r="W15" s="9"/>
      <c r="X15" s="10"/>
    </row>
    <row r="16" ht="15.75" customHeight="1">
      <c r="A16" s="271" t="s">
        <v>112</v>
      </c>
      <c r="B16" s="272" t="s">
        <v>591</v>
      </c>
      <c r="C16" s="50"/>
      <c r="D16" s="50"/>
      <c r="E16" s="50"/>
      <c r="F16" s="50"/>
      <c r="G16" s="50"/>
      <c r="H16" s="50"/>
      <c r="I16" s="50"/>
      <c r="J16" s="50"/>
      <c r="K16" s="50"/>
      <c r="L16" s="50"/>
      <c r="M16" s="50"/>
      <c r="N16" s="51"/>
      <c r="O16" s="272" t="s">
        <v>592</v>
      </c>
      <c r="P16" s="50"/>
      <c r="Q16" s="51"/>
      <c r="R16" s="272" t="s">
        <v>593</v>
      </c>
      <c r="S16" s="50"/>
      <c r="T16" s="50"/>
      <c r="U16" s="50"/>
      <c r="V16" s="50"/>
      <c r="W16" s="50"/>
      <c r="X16" s="51"/>
    </row>
    <row r="17" ht="15.75" customHeight="1">
      <c r="A17" s="315">
        <v>2.1</v>
      </c>
      <c r="B17" s="316" t="s">
        <v>594</v>
      </c>
      <c r="C17" s="317"/>
      <c r="D17" s="317"/>
      <c r="E17" s="317"/>
      <c r="F17" s="317"/>
      <c r="G17" s="317"/>
      <c r="H17" s="317"/>
      <c r="I17" s="317"/>
      <c r="J17" s="317"/>
      <c r="K17" s="317"/>
      <c r="L17" s="317"/>
      <c r="M17" s="317"/>
      <c r="N17" s="318"/>
      <c r="O17" s="316"/>
      <c r="P17" s="317"/>
      <c r="Q17" s="318"/>
      <c r="R17" s="316"/>
      <c r="S17" s="317"/>
      <c r="T17" s="317"/>
      <c r="U17" s="317"/>
      <c r="V17" s="317"/>
      <c r="W17" s="317"/>
      <c r="X17" s="319"/>
    </row>
    <row r="18" ht="15.75" customHeight="1">
      <c r="A18" s="320">
        <v>2.2</v>
      </c>
      <c r="B18" s="321" t="s">
        <v>595</v>
      </c>
      <c r="C18" s="322"/>
      <c r="D18" s="322"/>
      <c r="E18" s="322"/>
      <c r="F18" s="322"/>
      <c r="G18" s="322"/>
      <c r="H18" s="322"/>
      <c r="I18" s="322"/>
      <c r="J18" s="322"/>
      <c r="K18" s="322"/>
      <c r="L18" s="322"/>
      <c r="M18" s="322"/>
      <c r="N18" s="323"/>
      <c r="O18" s="321"/>
      <c r="P18" s="322"/>
      <c r="Q18" s="323"/>
      <c r="R18" s="321"/>
      <c r="S18" s="322"/>
      <c r="T18" s="322"/>
      <c r="U18" s="322"/>
      <c r="V18" s="322"/>
      <c r="W18" s="322"/>
      <c r="X18" s="324"/>
    </row>
    <row r="19" ht="15.75" customHeight="1">
      <c r="A19" s="320">
        <v>2.2</v>
      </c>
      <c r="B19" s="321" t="s">
        <v>596</v>
      </c>
      <c r="C19" s="322"/>
      <c r="D19" s="322"/>
      <c r="E19" s="322"/>
      <c r="F19" s="322"/>
      <c r="G19" s="322"/>
      <c r="H19" s="322"/>
      <c r="I19" s="322"/>
      <c r="J19" s="322"/>
      <c r="K19" s="322"/>
      <c r="L19" s="322"/>
      <c r="M19" s="322"/>
      <c r="N19" s="323"/>
      <c r="O19" s="321"/>
      <c r="P19" s="322"/>
      <c r="Q19" s="323"/>
      <c r="R19" s="321"/>
      <c r="S19" s="322"/>
      <c r="T19" s="322"/>
      <c r="U19" s="322"/>
      <c r="V19" s="322"/>
      <c r="W19" s="322"/>
      <c r="X19" s="324"/>
    </row>
    <row r="20" ht="15.75" customHeight="1">
      <c r="A20" s="320">
        <v>2.3</v>
      </c>
      <c r="B20" s="321" t="s">
        <v>597</v>
      </c>
      <c r="C20" s="322"/>
      <c r="D20" s="322"/>
      <c r="E20" s="322"/>
      <c r="F20" s="322"/>
      <c r="G20" s="322"/>
      <c r="H20" s="322"/>
      <c r="I20" s="322"/>
      <c r="J20" s="322"/>
      <c r="K20" s="322"/>
      <c r="L20" s="322"/>
      <c r="M20" s="322"/>
      <c r="N20" s="323"/>
      <c r="O20" s="321"/>
      <c r="P20" s="322"/>
      <c r="Q20" s="323"/>
      <c r="R20" s="321"/>
      <c r="S20" s="322"/>
      <c r="T20" s="322"/>
      <c r="U20" s="322"/>
      <c r="V20" s="322"/>
      <c r="W20" s="322"/>
      <c r="X20" s="324"/>
    </row>
    <row r="21" ht="15.75" customHeight="1">
      <c r="A21" s="320"/>
      <c r="B21" s="321"/>
      <c r="C21" s="322"/>
      <c r="D21" s="322"/>
      <c r="E21" s="322"/>
      <c r="F21" s="322"/>
      <c r="G21" s="322"/>
      <c r="H21" s="322"/>
      <c r="I21" s="322"/>
      <c r="J21" s="322"/>
      <c r="K21" s="322"/>
      <c r="L21" s="322"/>
      <c r="M21" s="322"/>
      <c r="N21" s="323"/>
      <c r="O21" s="321"/>
      <c r="P21" s="322"/>
      <c r="Q21" s="323"/>
      <c r="R21" s="321"/>
      <c r="S21" s="322"/>
      <c r="T21" s="322"/>
      <c r="U21" s="322"/>
      <c r="V21" s="322"/>
      <c r="W21" s="322"/>
      <c r="X21" s="324"/>
    </row>
    <row r="22" ht="15.75" customHeight="1">
      <c r="A22" s="330"/>
      <c r="B22" s="331"/>
      <c r="C22" s="332"/>
      <c r="D22" s="332"/>
      <c r="E22" s="332"/>
      <c r="F22" s="332"/>
      <c r="G22" s="332"/>
      <c r="H22" s="332"/>
      <c r="I22" s="332"/>
      <c r="J22" s="332"/>
      <c r="K22" s="332"/>
      <c r="L22" s="332"/>
      <c r="M22" s="332"/>
      <c r="N22" s="333"/>
      <c r="O22" s="331"/>
      <c r="P22" s="332"/>
      <c r="Q22" s="333"/>
      <c r="R22" s="331"/>
      <c r="S22" s="332"/>
      <c r="T22" s="332"/>
      <c r="U22" s="332"/>
      <c r="V22" s="332"/>
      <c r="W22" s="332"/>
      <c r="X22" s="334"/>
    </row>
    <row r="23" ht="15.75" customHeight="1">
      <c r="A23" s="49" t="s">
        <v>598</v>
      </c>
      <c r="B23" s="50"/>
      <c r="C23" s="50"/>
      <c r="D23" s="50"/>
      <c r="E23" s="50"/>
      <c r="F23" s="50"/>
      <c r="G23" s="50"/>
      <c r="H23" s="50"/>
      <c r="I23" s="50"/>
      <c r="J23" s="50"/>
      <c r="K23" s="50"/>
      <c r="L23" s="50"/>
      <c r="M23" s="50"/>
      <c r="N23" s="50"/>
      <c r="O23" s="50"/>
      <c r="P23" s="50"/>
      <c r="Q23" s="50"/>
      <c r="R23" s="50"/>
      <c r="S23" s="50"/>
      <c r="T23" s="50"/>
      <c r="U23" s="50"/>
      <c r="V23" s="50"/>
      <c r="W23" s="50"/>
      <c r="X23" s="335"/>
    </row>
    <row r="24" ht="15.75" customHeight="1">
      <c r="A24" s="163" t="s">
        <v>112</v>
      </c>
      <c r="B24" s="75" t="s">
        <v>599</v>
      </c>
      <c r="C24" s="50"/>
      <c r="D24" s="50"/>
      <c r="E24" s="50"/>
      <c r="F24" s="50"/>
      <c r="G24" s="50"/>
      <c r="H24" s="50"/>
      <c r="I24" s="50"/>
      <c r="J24" s="50"/>
      <c r="K24" s="50"/>
      <c r="L24" s="50"/>
      <c r="M24" s="50"/>
      <c r="N24" s="51"/>
      <c r="O24" s="75" t="s">
        <v>600</v>
      </c>
      <c r="P24" s="50"/>
      <c r="Q24" s="51"/>
      <c r="R24" s="75" t="s">
        <v>601</v>
      </c>
      <c r="S24" s="50"/>
      <c r="T24" s="50"/>
      <c r="U24" s="50"/>
      <c r="V24" s="50"/>
      <c r="W24" s="50"/>
      <c r="X24" s="51"/>
    </row>
    <row r="25" ht="15.75" customHeight="1">
      <c r="A25" s="315">
        <v>3.1</v>
      </c>
      <c r="B25" s="316"/>
      <c r="C25" s="317"/>
      <c r="D25" s="317"/>
      <c r="E25" s="317"/>
      <c r="F25" s="317"/>
      <c r="G25" s="317"/>
      <c r="H25" s="317"/>
      <c r="I25" s="317"/>
      <c r="J25" s="317"/>
      <c r="K25" s="317"/>
      <c r="L25" s="317"/>
      <c r="M25" s="317"/>
      <c r="N25" s="318"/>
      <c r="O25" s="316"/>
      <c r="P25" s="317"/>
      <c r="Q25" s="318"/>
      <c r="R25" s="316"/>
      <c r="S25" s="317"/>
      <c r="T25" s="317"/>
      <c r="U25" s="317"/>
      <c r="V25" s="317"/>
      <c r="W25" s="317"/>
      <c r="X25" s="319"/>
    </row>
    <row r="26" ht="15.75" customHeight="1">
      <c r="A26" s="320">
        <v>3.2</v>
      </c>
      <c r="B26" s="321"/>
      <c r="C26" s="322"/>
      <c r="D26" s="322"/>
      <c r="E26" s="322"/>
      <c r="F26" s="322"/>
      <c r="G26" s="322"/>
      <c r="H26" s="322"/>
      <c r="I26" s="322"/>
      <c r="J26" s="322"/>
      <c r="K26" s="322"/>
      <c r="L26" s="322"/>
      <c r="M26" s="322"/>
      <c r="N26" s="323"/>
      <c r="O26" s="321"/>
      <c r="P26" s="322"/>
      <c r="Q26" s="323"/>
      <c r="R26" s="321"/>
      <c r="S26" s="322"/>
      <c r="T26" s="322"/>
      <c r="U26" s="322"/>
      <c r="V26" s="322"/>
      <c r="W26" s="322"/>
      <c r="X26" s="324"/>
    </row>
    <row r="27" ht="15.75" customHeight="1">
      <c r="A27" s="320"/>
      <c r="B27" s="321"/>
      <c r="C27" s="322"/>
      <c r="D27" s="322"/>
      <c r="E27" s="322"/>
      <c r="F27" s="322"/>
      <c r="G27" s="322"/>
      <c r="H27" s="322"/>
      <c r="I27" s="322"/>
      <c r="J27" s="322"/>
      <c r="K27" s="322"/>
      <c r="L27" s="322"/>
      <c r="M27" s="322"/>
      <c r="N27" s="323"/>
      <c r="O27" s="321"/>
      <c r="P27" s="322"/>
      <c r="Q27" s="323"/>
      <c r="R27" s="321"/>
      <c r="S27" s="322"/>
      <c r="T27" s="322"/>
      <c r="U27" s="322"/>
      <c r="V27" s="322"/>
      <c r="W27" s="322"/>
      <c r="X27" s="324"/>
    </row>
    <row r="28" ht="15.75" customHeight="1">
      <c r="A28" s="320"/>
      <c r="B28" s="321"/>
      <c r="C28" s="322"/>
      <c r="D28" s="322"/>
      <c r="E28" s="322"/>
      <c r="F28" s="322"/>
      <c r="G28" s="322"/>
      <c r="H28" s="322"/>
      <c r="I28" s="322"/>
      <c r="J28" s="322"/>
      <c r="K28" s="322"/>
      <c r="L28" s="322"/>
      <c r="M28" s="322"/>
      <c r="N28" s="323"/>
      <c r="O28" s="321"/>
      <c r="P28" s="322"/>
      <c r="Q28" s="323"/>
      <c r="R28" s="321"/>
      <c r="S28" s="322"/>
      <c r="T28" s="322"/>
      <c r="U28" s="322"/>
      <c r="V28" s="322"/>
      <c r="W28" s="322"/>
      <c r="X28" s="324"/>
    </row>
    <row r="29" ht="15.75" customHeight="1">
      <c r="A29" s="330"/>
      <c r="B29" s="331"/>
      <c r="C29" s="332"/>
      <c r="D29" s="332"/>
      <c r="E29" s="332"/>
      <c r="F29" s="332"/>
      <c r="G29" s="332"/>
      <c r="H29" s="332"/>
      <c r="I29" s="332"/>
      <c r="J29" s="332"/>
      <c r="K29" s="332"/>
      <c r="L29" s="332"/>
      <c r="M29" s="332"/>
      <c r="N29" s="333"/>
      <c r="O29" s="331"/>
      <c r="P29" s="332"/>
      <c r="Q29" s="333"/>
      <c r="R29" s="331"/>
      <c r="S29" s="332"/>
      <c r="T29" s="332"/>
      <c r="U29" s="332"/>
      <c r="V29" s="332"/>
      <c r="W29" s="332"/>
      <c r="X29" s="334"/>
    </row>
    <row r="30" ht="15.75" customHeight="1">
      <c r="A30" s="320"/>
      <c r="B30" s="321"/>
      <c r="C30" s="322"/>
      <c r="D30" s="322"/>
      <c r="E30" s="322"/>
      <c r="F30" s="322"/>
      <c r="G30" s="322"/>
      <c r="H30" s="322"/>
      <c r="I30" s="322"/>
      <c r="J30" s="322"/>
      <c r="K30" s="322"/>
      <c r="L30" s="322"/>
      <c r="M30" s="322"/>
      <c r="N30" s="323"/>
      <c r="O30" s="321"/>
      <c r="P30" s="322"/>
      <c r="Q30" s="323"/>
      <c r="R30" s="321"/>
      <c r="S30" s="322"/>
      <c r="T30" s="322"/>
      <c r="U30" s="322"/>
      <c r="V30" s="322"/>
      <c r="W30" s="322"/>
      <c r="X30" s="324"/>
    </row>
    <row r="31" ht="15.75" customHeight="1">
      <c r="A31" s="330"/>
      <c r="B31" s="331"/>
      <c r="C31" s="332"/>
      <c r="D31" s="332"/>
      <c r="E31" s="332"/>
      <c r="F31" s="332"/>
      <c r="G31" s="332"/>
      <c r="H31" s="332"/>
      <c r="I31" s="332"/>
      <c r="J31" s="332"/>
      <c r="K31" s="332"/>
      <c r="L31" s="332"/>
      <c r="M31" s="332"/>
      <c r="N31" s="333"/>
      <c r="O31" s="331"/>
      <c r="P31" s="332"/>
      <c r="Q31" s="333"/>
      <c r="R31" s="331"/>
      <c r="S31" s="332"/>
      <c r="T31" s="332"/>
      <c r="U31" s="332"/>
      <c r="V31" s="332"/>
      <c r="W31" s="332"/>
      <c r="X31" s="334"/>
    </row>
    <row r="32" ht="15.75" customHeight="1">
      <c r="A32" s="330"/>
      <c r="B32" s="331"/>
      <c r="C32" s="332"/>
      <c r="D32" s="332"/>
      <c r="E32" s="332"/>
      <c r="F32" s="332"/>
      <c r="G32" s="332"/>
      <c r="H32" s="332"/>
      <c r="I32" s="332"/>
      <c r="J32" s="332"/>
      <c r="K32" s="332"/>
      <c r="L32" s="332"/>
      <c r="M32" s="332"/>
      <c r="N32" s="333"/>
      <c r="O32" s="331"/>
      <c r="P32" s="332"/>
      <c r="Q32" s="333"/>
      <c r="R32" s="331"/>
      <c r="S32" s="332"/>
      <c r="T32" s="332"/>
      <c r="U32" s="332"/>
      <c r="V32" s="332"/>
      <c r="W32" s="332"/>
      <c r="X32" s="334"/>
    </row>
    <row r="33" ht="15.75" customHeight="1">
      <c r="A33" s="330"/>
      <c r="B33" s="331"/>
      <c r="C33" s="332"/>
      <c r="D33" s="332"/>
      <c r="E33" s="332"/>
      <c r="F33" s="332"/>
      <c r="G33" s="332"/>
      <c r="H33" s="332"/>
      <c r="I33" s="332"/>
      <c r="J33" s="332"/>
      <c r="K33" s="332"/>
      <c r="L33" s="332"/>
      <c r="M33" s="332"/>
      <c r="N33" s="333"/>
      <c r="O33" s="331"/>
      <c r="P33" s="332"/>
      <c r="Q33" s="333"/>
      <c r="R33" s="331"/>
      <c r="S33" s="332"/>
      <c r="T33" s="332"/>
      <c r="U33" s="332"/>
      <c r="V33" s="332"/>
      <c r="W33" s="332"/>
      <c r="X33" s="334"/>
    </row>
    <row r="34" ht="15.75" customHeight="1">
      <c r="A34" s="330"/>
      <c r="B34" s="331"/>
      <c r="C34" s="332"/>
      <c r="D34" s="332"/>
      <c r="E34" s="332"/>
      <c r="F34" s="332"/>
      <c r="G34" s="332"/>
      <c r="H34" s="332"/>
      <c r="I34" s="332"/>
      <c r="J34" s="332"/>
      <c r="K34" s="332"/>
      <c r="L34" s="332"/>
      <c r="M34" s="332"/>
      <c r="N34" s="333"/>
      <c r="O34" s="331"/>
      <c r="P34" s="332"/>
      <c r="Q34" s="333"/>
      <c r="R34" s="331"/>
      <c r="S34" s="332"/>
      <c r="T34" s="332"/>
      <c r="U34" s="332"/>
      <c r="V34" s="332"/>
      <c r="W34" s="332"/>
      <c r="X34" s="334"/>
    </row>
    <row r="35" ht="15.75" customHeight="1">
      <c r="A35" s="330"/>
      <c r="B35" s="331"/>
      <c r="C35" s="332"/>
      <c r="D35" s="332"/>
      <c r="E35" s="332"/>
      <c r="F35" s="332"/>
      <c r="G35" s="332"/>
      <c r="H35" s="332"/>
      <c r="I35" s="332"/>
      <c r="J35" s="332"/>
      <c r="K35" s="332"/>
      <c r="L35" s="332"/>
      <c r="M35" s="332"/>
      <c r="N35" s="333"/>
      <c r="O35" s="331"/>
      <c r="P35" s="332"/>
      <c r="Q35" s="333"/>
      <c r="R35" s="331"/>
      <c r="S35" s="332"/>
      <c r="T35" s="332"/>
      <c r="U35" s="332"/>
      <c r="V35" s="332"/>
      <c r="W35" s="332"/>
      <c r="X35" s="334"/>
    </row>
    <row r="36" ht="15.75" customHeight="1">
      <c r="A36" s="325"/>
      <c r="B36" s="326"/>
      <c r="C36" s="327"/>
      <c r="D36" s="327"/>
      <c r="E36" s="327"/>
      <c r="F36" s="327"/>
      <c r="G36" s="327"/>
      <c r="H36" s="327"/>
      <c r="I36" s="327"/>
      <c r="J36" s="327"/>
      <c r="K36" s="327"/>
      <c r="L36" s="327"/>
      <c r="M36" s="327"/>
      <c r="N36" s="328"/>
      <c r="O36" s="326"/>
      <c r="P36" s="327"/>
      <c r="Q36" s="328"/>
      <c r="R36" s="326"/>
      <c r="S36" s="327"/>
      <c r="T36" s="327"/>
      <c r="U36" s="327"/>
      <c r="V36" s="327"/>
      <c r="W36" s="327"/>
      <c r="X36" s="329"/>
    </row>
    <row r="37" ht="15.75" customHeight="1">
      <c r="A37" s="49" t="s">
        <v>602</v>
      </c>
      <c r="B37" s="50"/>
      <c r="C37" s="50"/>
      <c r="D37" s="50"/>
      <c r="E37" s="50"/>
      <c r="F37" s="50"/>
      <c r="G37" s="50"/>
      <c r="H37" s="50"/>
      <c r="I37" s="50"/>
      <c r="J37" s="50"/>
      <c r="K37" s="50"/>
      <c r="L37" s="50"/>
      <c r="M37" s="50"/>
      <c r="N37" s="50"/>
      <c r="O37" s="50"/>
      <c r="P37" s="50"/>
      <c r="Q37" s="50"/>
      <c r="R37" s="50"/>
      <c r="S37" s="50"/>
      <c r="T37" s="50"/>
      <c r="U37" s="50"/>
      <c r="V37" s="50"/>
      <c r="W37" s="50"/>
      <c r="X37" s="51"/>
    </row>
    <row r="38" ht="15.75" customHeight="1">
      <c r="A38" s="336" t="s">
        <v>603</v>
      </c>
      <c r="B38" s="317"/>
      <c r="C38" s="317"/>
      <c r="D38" s="318"/>
      <c r="E38" s="316"/>
      <c r="F38" s="317"/>
      <c r="G38" s="317"/>
      <c r="H38" s="317"/>
      <c r="I38" s="317"/>
      <c r="J38" s="317"/>
      <c r="K38" s="317"/>
      <c r="L38" s="317"/>
      <c r="M38" s="317"/>
      <c r="N38" s="318"/>
      <c r="O38" s="316" t="s">
        <v>604</v>
      </c>
      <c r="P38" s="317"/>
      <c r="Q38" s="317"/>
      <c r="R38" s="317"/>
      <c r="S38" s="318"/>
      <c r="T38" s="316"/>
      <c r="U38" s="317"/>
      <c r="V38" s="317"/>
      <c r="W38" s="317"/>
      <c r="X38" s="319"/>
    </row>
    <row r="39" ht="15.75" customHeight="1">
      <c r="A39" s="337" t="s">
        <v>605</v>
      </c>
      <c r="B39" s="322"/>
      <c r="C39" s="322"/>
      <c r="D39" s="323"/>
      <c r="E39" s="321"/>
      <c r="F39" s="322"/>
      <c r="G39" s="322"/>
      <c r="H39" s="322"/>
      <c r="I39" s="322"/>
      <c r="J39" s="322"/>
      <c r="K39" s="322"/>
      <c r="L39" s="322"/>
      <c r="M39" s="322"/>
      <c r="N39" s="323"/>
      <c r="O39" s="338" t="s">
        <v>606</v>
      </c>
      <c r="P39" s="332"/>
      <c r="Q39" s="333"/>
      <c r="R39" s="331"/>
      <c r="S39" s="332"/>
      <c r="T39" s="332"/>
      <c r="U39" s="332"/>
      <c r="V39" s="332"/>
      <c r="W39" s="332"/>
      <c r="X39" s="334"/>
    </row>
    <row r="40" ht="15.75" customHeight="1">
      <c r="A40" s="339" t="s">
        <v>607</v>
      </c>
      <c r="B40" s="332"/>
      <c r="C40" s="332"/>
      <c r="D40" s="333"/>
      <c r="E40" s="331"/>
      <c r="F40" s="332"/>
      <c r="G40" s="332"/>
      <c r="H40" s="332"/>
      <c r="I40" s="332"/>
      <c r="J40" s="332"/>
      <c r="K40" s="332"/>
      <c r="L40" s="332"/>
      <c r="M40" s="332"/>
      <c r="N40" s="333"/>
      <c r="O40" s="340"/>
      <c r="Q40" s="341"/>
      <c r="R40" s="340"/>
      <c r="X40" s="80"/>
    </row>
    <row r="41" ht="15.75" customHeight="1">
      <c r="A41" s="79"/>
      <c r="D41" s="341"/>
      <c r="E41" s="340"/>
      <c r="N41" s="341"/>
      <c r="O41" s="340"/>
      <c r="Q41" s="341"/>
      <c r="R41" s="340"/>
      <c r="X41" s="80"/>
    </row>
    <row r="42" ht="15.75" customHeight="1">
      <c r="A42" s="79"/>
      <c r="D42" s="341"/>
      <c r="E42" s="340"/>
      <c r="N42" s="341"/>
      <c r="O42" s="340"/>
      <c r="Q42" s="341"/>
      <c r="R42" s="340"/>
      <c r="X42" s="80"/>
    </row>
    <row r="43" ht="15.75" customHeight="1">
      <c r="A43" s="39"/>
      <c r="B43" s="81"/>
      <c r="C43" s="81"/>
      <c r="D43" s="342"/>
      <c r="E43" s="343"/>
      <c r="F43" s="81"/>
      <c r="G43" s="81"/>
      <c r="H43" s="81"/>
      <c r="I43" s="81"/>
      <c r="J43" s="81"/>
      <c r="K43" s="81"/>
      <c r="L43" s="81"/>
      <c r="M43" s="81"/>
      <c r="N43" s="342"/>
      <c r="O43" s="343"/>
      <c r="P43" s="81"/>
      <c r="Q43" s="342"/>
      <c r="R43" s="343"/>
      <c r="S43" s="81"/>
      <c r="T43" s="81"/>
      <c r="U43" s="81"/>
      <c r="V43" s="81"/>
      <c r="W43" s="81"/>
      <c r="X43" s="82"/>
    </row>
    <row r="44" ht="15.75" customHeight="1">
      <c r="A44" s="160" t="s">
        <v>608</v>
      </c>
      <c r="B44" s="50"/>
      <c r="C44" s="50"/>
      <c r="D44" s="50"/>
      <c r="E44" s="50"/>
      <c r="F44" s="50"/>
      <c r="G44" s="50"/>
      <c r="H44" s="50"/>
      <c r="I44" s="50"/>
      <c r="J44" s="50"/>
      <c r="K44" s="50"/>
      <c r="L44" s="50"/>
      <c r="M44" s="50"/>
      <c r="N44" s="50"/>
      <c r="O44" s="50"/>
      <c r="P44" s="50"/>
      <c r="Q44" s="50"/>
      <c r="R44" s="50"/>
      <c r="S44" s="50"/>
      <c r="T44" s="50"/>
      <c r="U44" s="50"/>
      <c r="V44" s="50"/>
      <c r="W44" s="50"/>
      <c r="X44" s="51"/>
    </row>
    <row r="45" ht="15.75" customHeight="1">
      <c r="A45" s="303" t="s">
        <v>609</v>
      </c>
      <c r="B45" s="119"/>
      <c r="C45" s="119"/>
      <c r="D45" s="119"/>
      <c r="E45" s="119"/>
      <c r="F45" s="120"/>
      <c r="G45" s="304"/>
      <c r="H45" s="119"/>
      <c r="I45" s="119"/>
      <c r="J45" s="119"/>
      <c r="K45" s="119"/>
      <c r="L45" s="119"/>
      <c r="M45" s="119"/>
      <c r="N45" s="119"/>
      <c r="O45" s="119"/>
      <c r="P45" s="119"/>
      <c r="Q45" s="119"/>
      <c r="R45" s="119"/>
      <c r="S45" s="119"/>
      <c r="T45" s="119"/>
      <c r="U45" s="119"/>
      <c r="V45" s="119"/>
      <c r="W45" s="119"/>
      <c r="X45" s="185"/>
    </row>
    <row r="46" ht="15.75" customHeight="1">
      <c r="A46" s="307" t="s">
        <v>610</v>
      </c>
      <c r="B46" s="175"/>
      <c r="C46" s="175"/>
      <c r="D46" s="175"/>
      <c r="E46" s="175"/>
      <c r="F46" s="308"/>
      <c r="G46" s="309"/>
      <c r="H46" s="175"/>
      <c r="I46" s="175"/>
      <c r="J46" s="175"/>
      <c r="K46" s="175"/>
      <c r="L46" s="175"/>
      <c r="M46" s="175"/>
      <c r="N46" s="175"/>
      <c r="O46" s="175"/>
      <c r="P46" s="175"/>
      <c r="Q46" s="175"/>
      <c r="R46" s="175"/>
      <c r="S46" s="175"/>
      <c r="T46" s="175"/>
      <c r="U46" s="175"/>
      <c r="V46" s="175"/>
      <c r="W46" s="175"/>
      <c r="X46" s="177"/>
    </row>
    <row r="47" ht="15.75" customHeight="1">
      <c r="A47" s="310" t="s">
        <v>559</v>
      </c>
      <c r="B47" s="311"/>
      <c r="C47" s="311"/>
      <c r="D47" s="311"/>
      <c r="E47" s="311"/>
      <c r="F47" s="312"/>
      <c r="G47" s="313"/>
      <c r="H47" s="311"/>
      <c r="I47" s="311"/>
      <c r="J47" s="311"/>
      <c r="K47" s="311"/>
      <c r="L47" s="311"/>
      <c r="M47" s="311"/>
      <c r="N47" s="311"/>
      <c r="O47" s="311"/>
      <c r="P47" s="311"/>
      <c r="Q47" s="311"/>
      <c r="R47" s="311"/>
      <c r="S47" s="311"/>
      <c r="T47" s="311"/>
      <c r="U47" s="311"/>
      <c r="V47" s="311"/>
      <c r="W47" s="311"/>
      <c r="X47" s="31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5">
    <mergeCell ref="B36:N36"/>
    <mergeCell ref="O36:Q36"/>
    <mergeCell ref="R36:X36"/>
    <mergeCell ref="A37:X37"/>
    <mergeCell ref="E38:N38"/>
    <mergeCell ref="O38:S38"/>
    <mergeCell ref="T38:X38"/>
    <mergeCell ref="A38:D38"/>
    <mergeCell ref="A39:D39"/>
    <mergeCell ref="E39:N39"/>
    <mergeCell ref="O39:Q43"/>
    <mergeCell ref="R39:X43"/>
    <mergeCell ref="E40:N43"/>
    <mergeCell ref="A44:X44"/>
    <mergeCell ref="A11:E11"/>
    <mergeCell ref="F11:P11"/>
    <mergeCell ref="Q11:T11"/>
    <mergeCell ref="U11:X11"/>
    <mergeCell ref="F12:P12"/>
    <mergeCell ref="Q12:T12"/>
    <mergeCell ref="U12:X12"/>
    <mergeCell ref="O17:Q17"/>
    <mergeCell ref="R17:X17"/>
    <mergeCell ref="F13:X13"/>
    <mergeCell ref="A14:X14"/>
    <mergeCell ref="A15:X15"/>
    <mergeCell ref="B16:N16"/>
    <mergeCell ref="O16:Q16"/>
    <mergeCell ref="R16:X16"/>
    <mergeCell ref="B17:N17"/>
    <mergeCell ref="O20:Q20"/>
    <mergeCell ref="R20:X20"/>
    <mergeCell ref="B18:N18"/>
    <mergeCell ref="O18:Q18"/>
    <mergeCell ref="R18:X18"/>
    <mergeCell ref="B19:N19"/>
    <mergeCell ref="O19:Q19"/>
    <mergeCell ref="R19:X19"/>
    <mergeCell ref="B20:N20"/>
    <mergeCell ref="B21:N21"/>
    <mergeCell ref="O21:Q21"/>
    <mergeCell ref="R21:X21"/>
    <mergeCell ref="B22:N22"/>
    <mergeCell ref="O22:Q22"/>
    <mergeCell ref="R22:X22"/>
    <mergeCell ref="A23:X23"/>
    <mergeCell ref="A40:D43"/>
    <mergeCell ref="A45:F45"/>
    <mergeCell ref="G45:X45"/>
    <mergeCell ref="A46:F46"/>
    <mergeCell ref="G46:X46"/>
    <mergeCell ref="A47:F47"/>
    <mergeCell ref="G47:X47"/>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E10"/>
    <mergeCell ref="F10:P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2:E12"/>
    <mergeCell ref="A13:E13"/>
    <mergeCell ref="O26:Q26"/>
    <mergeCell ref="R26:X26"/>
    <mergeCell ref="B24:N24"/>
    <mergeCell ref="O24:Q24"/>
    <mergeCell ref="R24:X24"/>
    <mergeCell ref="B25:N25"/>
    <mergeCell ref="O25:Q25"/>
    <mergeCell ref="R25:X25"/>
    <mergeCell ref="B26:N26"/>
    <mergeCell ref="O29:Q29"/>
    <mergeCell ref="R29:X29"/>
    <mergeCell ref="B27:N27"/>
    <mergeCell ref="O27:Q27"/>
    <mergeCell ref="R27:X27"/>
    <mergeCell ref="B28:N28"/>
    <mergeCell ref="O28:Q28"/>
    <mergeCell ref="R28:X28"/>
    <mergeCell ref="B29:N29"/>
    <mergeCell ref="O32:Q32"/>
    <mergeCell ref="R32:X32"/>
    <mergeCell ref="B30:N30"/>
    <mergeCell ref="O30:Q30"/>
    <mergeCell ref="R30:X30"/>
    <mergeCell ref="B31:N31"/>
    <mergeCell ref="O31:Q31"/>
    <mergeCell ref="R31:X31"/>
    <mergeCell ref="B32:N32"/>
    <mergeCell ref="O35:Q35"/>
    <mergeCell ref="R35:X35"/>
    <mergeCell ref="B33:N33"/>
    <mergeCell ref="O33:Q33"/>
    <mergeCell ref="R33:X33"/>
    <mergeCell ref="B34:N34"/>
    <mergeCell ref="O34:Q34"/>
    <mergeCell ref="R34:X34"/>
    <mergeCell ref="B35:N3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4" width="6.0"/>
  </cols>
  <sheetData>
    <row r="1" ht="15.75" customHeight="1">
      <c r="A1" s="206" t="s">
        <v>0</v>
      </c>
      <c r="B1" s="207"/>
      <c r="C1" s="208"/>
      <c r="D1" s="207"/>
      <c r="E1" s="209" t="s">
        <v>1</v>
      </c>
      <c r="F1" s="207"/>
      <c r="G1" s="208" t="s">
        <v>82</v>
      </c>
      <c r="H1" s="207"/>
      <c r="I1" s="209" t="s">
        <v>2</v>
      </c>
      <c r="J1" s="207"/>
      <c r="K1" s="210"/>
      <c r="L1" s="207"/>
      <c r="M1" s="211" t="s">
        <v>3</v>
      </c>
      <c r="N1" s="207"/>
      <c r="O1" s="212">
        <v>4.0</v>
      </c>
      <c r="P1" s="207"/>
      <c r="Q1" s="209" t="s">
        <v>4</v>
      </c>
      <c r="R1" s="207"/>
      <c r="S1" s="208" t="s">
        <v>105</v>
      </c>
      <c r="T1" s="207"/>
      <c r="U1" s="213"/>
      <c r="V1" s="214"/>
      <c r="W1" s="214"/>
      <c r="X1" s="215"/>
    </row>
    <row r="2" ht="15.75" customHeight="1">
      <c r="A2" s="216" t="s">
        <v>5</v>
      </c>
      <c r="B2" s="12"/>
      <c r="C2" s="13"/>
      <c r="D2" s="12"/>
      <c r="E2" s="14" t="s">
        <v>6</v>
      </c>
      <c r="F2" s="12"/>
      <c r="G2" s="13"/>
      <c r="H2" s="12"/>
      <c r="I2" s="14" t="s">
        <v>7</v>
      </c>
      <c r="J2" s="12"/>
      <c r="K2" s="15"/>
      <c r="L2" s="12"/>
      <c r="M2" s="16" t="s">
        <v>8</v>
      </c>
      <c r="N2" s="12"/>
      <c r="O2" s="13" t="s">
        <v>9</v>
      </c>
      <c r="P2" s="12"/>
      <c r="Q2" s="14" t="s">
        <v>10</v>
      </c>
      <c r="R2" s="12"/>
      <c r="S2" s="13" t="s">
        <v>78</v>
      </c>
      <c r="T2" s="12"/>
      <c r="U2" s="217"/>
      <c r="V2" s="218"/>
      <c r="W2" s="218"/>
      <c r="X2" s="219"/>
    </row>
    <row r="3" ht="15.75" customHeight="1">
      <c r="A3" s="216" t="s">
        <v>11</v>
      </c>
      <c r="B3" s="12"/>
      <c r="C3" s="13"/>
      <c r="D3" s="12"/>
      <c r="E3" s="14" t="s">
        <v>12</v>
      </c>
      <c r="F3" s="12"/>
      <c r="G3" s="13" t="s">
        <v>135</v>
      </c>
      <c r="H3" s="12"/>
      <c r="I3" s="14" t="s">
        <v>13</v>
      </c>
      <c r="J3" s="12"/>
      <c r="K3" s="20"/>
      <c r="L3" s="12"/>
      <c r="M3" s="16" t="s">
        <v>14</v>
      </c>
      <c r="N3" s="12"/>
      <c r="O3" s="13" t="s">
        <v>15</v>
      </c>
      <c r="P3" s="12"/>
      <c r="Q3" s="14" t="s">
        <v>16</v>
      </c>
      <c r="R3" s="12"/>
      <c r="S3" s="13" t="s">
        <v>611</v>
      </c>
      <c r="T3" s="12"/>
      <c r="U3" s="220" t="s">
        <v>17</v>
      </c>
      <c r="V3" s="18"/>
      <c r="W3" s="18"/>
      <c r="X3" s="221"/>
    </row>
    <row r="4" ht="15.75" customHeight="1">
      <c r="A4" s="216" t="s">
        <v>18</v>
      </c>
      <c r="B4" s="12"/>
      <c r="C4" s="13" t="s">
        <v>107</v>
      </c>
      <c r="D4" s="12"/>
      <c r="E4" s="14" t="s">
        <v>20</v>
      </c>
      <c r="F4" s="12"/>
      <c r="G4" s="13" t="s">
        <v>82</v>
      </c>
      <c r="H4" s="12"/>
      <c r="I4" s="14" t="s">
        <v>21</v>
      </c>
      <c r="J4" s="12"/>
      <c r="K4" s="24"/>
      <c r="L4" s="25"/>
      <c r="M4" s="26" t="s">
        <v>22</v>
      </c>
      <c r="N4" s="27"/>
      <c r="O4" s="28">
        <v>0.0</v>
      </c>
      <c r="P4" s="27"/>
      <c r="Q4" s="14" t="s">
        <v>23</v>
      </c>
      <c r="R4" s="12"/>
      <c r="S4" s="20"/>
      <c r="T4" s="12"/>
      <c r="U4" s="29" t="s">
        <v>24</v>
      </c>
      <c r="V4" s="22"/>
      <c r="W4" s="22"/>
      <c r="X4" s="222"/>
    </row>
    <row r="5" ht="15.75" customHeight="1">
      <c r="A5" s="223" t="s">
        <v>25</v>
      </c>
      <c r="B5" s="27"/>
      <c r="C5" s="31"/>
      <c r="D5" s="27"/>
      <c r="E5" s="14" t="s">
        <v>27</v>
      </c>
      <c r="F5" s="12"/>
      <c r="G5" s="13" t="s">
        <v>590</v>
      </c>
      <c r="H5" s="12"/>
      <c r="I5" s="14" t="s">
        <v>28</v>
      </c>
      <c r="J5" s="12"/>
      <c r="K5" s="32"/>
      <c r="L5" s="33"/>
      <c r="M5" s="34"/>
      <c r="N5" s="35"/>
      <c r="O5" s="34"/>
      <c r="P5" s="35"/>
      <c r="Q5" s="36" t="s">
        <v>29</v>
      </c>
      <c r="R5" s="27"/>
      <c r="S5" s="37"/>
      <c r="T5" s="27"/>
      <c r="U5" s="38" t="s">
        <v>30</v>
      </c>
      <c r="V5" s="22"/>
      <c r="W5" s="22"/>
      <c r="X5" s="222"/>
    </row>
    <row r="6" ht="15.75" customHeight="1">
      <c r="A6" s="224"/>
      <c r="B6" s="225"/>
      <c r="C6" s="226"/>
      <c r="D6" s="225"/>
      <c r="E6" s="227" t="s">
        <v>31</v>
      </c>
      <c r="F6" s="228"/>
      <c r="G6" s="229" t="s">
        <v>137</v>
      </c>
      <c r="H6" s="228"/>
      <c r="I6" s="227" t="s">
        <v>32</v>
      </c>
      <c r="J6" s="228"/>
      <c r="K6" s="230"/>
      <c r="L6" s="228"/>
      <c r="M6" s="226"/>
      <c r="N6" s="225"/>
      <c r="O6" s="226"/>
      <c r="P6" s="225"/>
      <c r="Q6" s="226"/>
      <c r="R6" s="225"/>
      <c r="S6" s="226"/>
      <c r="T6" s="225"/>
      <c r="U6" s="231" t="s">
        <v>33</v>
      </c>
      <c r="V6" s="232"/>
      <c r="W6" s="232"/>
      <c r="X6" s="233"/>
    </row>
    <row r="7" ht="15.75" customHeight="1">
      <c r="A7" s="234" t="s">
        <v>311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612</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613</v>
      </c>
      <c r="B9" s="50"/>
      <c r="C9" s="50"/>
      <c r="D9" s="50"/>
      <c r="E9" s="50"/>
      <c r="F9" s="50"/>
      <c r="G9" s="50"/>
      <c r="H9" s="50"/>
      <c r="I9" s="50"/>
      <c r="J9" s="50"/>
      <c r="K9" s="50"/>
      <c r="L9" s="50"/>
      <c r="M9" s="50"/>
      <c r="N9" s="50"/>
      <c r="O9" s="50"/>
      <c r="P9" s="50"/>
      <c r="Q9" s="50"/>
      <c r="R9" s="50"/>
      <c r="S9" s="50"/>
      <c r="T9" s="50"/>
      <c r="U9" s="50"/>
      <c r="V9" s="50"/>
      <c r="W9" s="50"/>
      <c r="X9" s="51"/>
    </row>
    <row r="10" ht="15.75" customHeight="1">
      <c r="A10" s="235" t="s">
        <v>614</v>
      </c>
      <c r="B10" s="50"/>
      <c r="C10" s="50"/>
      <c r="D10" s="50"/>
      <c r="E10" s="51"/>
      <c r="F10" s="49"/>
      <c r="G10" s="50"/>
      <c r="H10" s="50"/>
      <c r="I10" s="50"/>
      <c r="J10" s="50"/>
      <c r="K10" s="50"/>
      <c r="L10" s="50"/>
      <c r="M10" s="50"/>
      <c r="N10" s="50"/>
      <c r="O10" s="50"/>
      <c r="P10" s="50"/>
      <c r="Q10" s="53" t="s">
        <v>512</v>
      </c>
      <c r="R10" s="50"/>
      <c r="S10" s="50"/>
      <c r="T10" s="51"/>
      <c r="U10" s="300"/>
      <c r="V10" s="50"/>
      <c r="W10" s="50"/>
      <c r="X10" s="51"/>
    </row>
    <row r="11" ht="15.75" customHeight="1">
      <c r="A11" s="281" t="s">
        <v>544</v>
      </c>
      <c r="B11" s="9"/>
      <c r="C11" s="9"/>
      <c r="D11" s="9"/>
      <c r="E11" s="10"/>
      <c r="F11" s="77"/>
      <c r="G11" s="9"/>
      <c r="H11" s="9"/>
      <c r="I11" s="9"/>
      <c r="J11" s="9"/>
      <c r="K11" s="9"/>
      <c r="L11" s="9"/>
      <c r="M11" s="9"/>
      <c r="N11" s="9"/>
      <c r="O11" s="9"/>
      <c r="P11" s="9"/>
      <c r="Q11" s="53"/>
      <c r="R11" s="50"/>
      <c r="S11" s="50"/>
      <c r="T11" s="51"/>
      <c r="U11" s="299"/>
      <c r="V11" s="9"/>
      <c r="W11" s="9"/>
      <c r="X11" s="10"/>
    </row>
    <row r="12" ht="15.75" customHeight="1">
      <c r="A12" s="282" t="s">
        <v>615</v>
      </c>
      <c r="B12" s="278"/>
      <c r="C12" s="278"/>
      <c r="D12" s="278"/>
      <c r="E12" s="279"/>
      <c r="F12" s="282"/>
      <c r="G12" s="278"/>
      <c r="H12" s="278"/>
      <c r="I12" s="278"/>
      <c r="J12" s="278"/>
      <c r="K12" s="278"/>
      <c r="L12" s="278"/>
      <c r="M12" s="278"/>
      <c r="N12" s="278"/>
      <c r="O12" s="278"/>
      <c r="P12" s="278"/>
      <c r="Q12" s="156"/>
      <c r="R12" s="50"/>
      <c r="S12" s="50"/>
      <c r="T12" s="51"/>
      <c r="U12" s="301"/>
      <c r="V12" s="278"/>
      <c r="W12" s="278"/>
      <c r="X12" s="279"/>
    </row>
    <row r="13" ht="15.75" customHeight="1">
      <c r="A13" s="282" t="s">
        <v>545</v>
      </c>
      <c r="B13" s="278"/>
      <c r="C13" s="278"/>
      <c r="D13" s="278"/>
      <c r="E13" s="279"/>
      <c r="F13" s="344"/>
      <c r="G13" s="214"/>
      <c r="H13" s="214"/>
      <c r="I13" s="214"/>
      <c r="J13" s="214"/>
      <c r="K13" s="214"/>
      <c r="L13" s="214"/>
      <c r="M13" s="214"/>
      <c r="N13" s="214"/>
      <c r="O13" s="214"/>
      <c r="P13" s="214"/>
      <c r="Q13" s="214"/>
      <c r="R13" s="214"/>
      <c r="S13" s="214"/>
      <c r="T13" s="214"/>
      <c r="U13" s="214"/>
      <c r="V13" s="214"/>
      <c r="W13" s="214"/>
      <c r="X13" s="215"/>
    </row>
    <row r="14" ht="15.75" customHeight="1">
      <c r="A14" s="283" t="s">
        <v>616</v>
      </c>
      <c r="B14" s="81"/>
      <c r="C14" s="81"/>
      <c r="D14" s="81"/>
      <c r="E14" s="81"/>
      <c r="F14" s="345"/>
      <c r="G14" s="50"/>
      <c r="H14" s="50"/>
      <c r="I14" s="50"/>
      <c r="J14" s="50"/>
      <c r="K14" s="50"/>
      <c r="L14" s="50"/>
      <c r="M14" s="50"/>
      <c r="N14" s="50"/>
      <c r="O14" s="50"/>
      <c r="P14" s="50"/>
      <c r="Q14" s="50"/>
      <c r="R14" s="50"/>
      <c r="S14" s="50"/>
      <c r="T14" s="50"/>
      <c r="U14" s="50"/>
      <c r="V14" s="50"/>
      <c r="W14" s="50"/>
      <c r="X14" s="51"/>
    </row>
    <row r="15" ht="15.75" customHeight="1">
      <c r="A15" s="296" t="s">
        <v>617</v>
      </c>
      <c r="B15" s="9"/>
      <c r="C15" s="9"/>
      <c r="D15" s="9"/>
      <c r="E15" s="9"/>
      <c r="F15" s="9"/>
      <c r="G15" s="9"/>
      <c r="H15" s="9"/>
      <c r="I15" s="9"/>
      <c r="J15" s="9"/>
      <c r="K15" s="9"/>
      <c r="L15" s="9"/>
      <c r="M15" s="9"/>
      <c r="N15" s="9"/>
      <c r="O15" s="9"/>
      <c r="P15" s="9"/>
      <c r="Q15" s="9"/>
      <c r="R15" s="9"/>
      <c r="S15" s="9"/>
      <c r="T15" s="9"/>
      <c r="U15" s="9"/>
      <c r="V15" s="9"/>
      <c r="W15" s="9"/>
      <c r="X15" s="10"/>
    </row>
    <row r="16" ht="15.75" customHeight="1">
      <c r="A16" s="271" t="s">
        <v>112</v>
      </c>
      <c r="B16" s="272" t="s">
        <v>618</v>
      </c>
      <c r="C16" s="50"/>
      <c r="D16" s="50"/>
      <c r="E16" s="50"/>
      <c r="F16" s="50"/>
      <c r="G16" s="50"/>
      <c r="H16" s="272" t="s">
        <v>619</v>
      </c>
      <c r="I16" s="50"/>
      <c r="J16" s="50"/>
      <c r="K16" s="50"/>
      <c r="L16" s="50"/>
      <c r="M16" s="50"/>
      <c r="N16" s="51"/>
      <c r="O16" s="272" t="s">
        <v>620</v>
      </c>
      <c r="P16" s="50"/>
      <c r="Q16" s="51"/>
      <c r="R16" s="272" t="s">
        <v>621</v>
      </c>
      <c r="S16" s="50"/>
      <c r="T16" s="50"/>
      <c r="U16" s="50"/>
      <c r="V16" s="50"/>
      <c r="W16" s="50"/>
      <c r="X16" s="51"/>
    </row>
    <row r="17" ht="15.75" customHeight="1">
      <c r="A17" s="315">
        <v>2.1</v>
      </c>
      <c r="B17" s="316" t="s">
        <v>622</v>
      </c>
      <c r="C17" s="317"/>
      <c r="D17" s="317"/>
      <c r="E17" s="317"/>
      <c r="F17" s="317"/>
      <c r="G17" s="317"/>
      <c r="H17" s="336" t="s">
        <v>623</v>
      </c>
      <c r="I17" s="317"/>
      <c r="J17" s="317"/>
      <c r="K17" s="317"/>
      <c r="L17" s="317"/>
      <c r="M17" s="317"/>
      <c r="N17" s="318"/>
      <c r="O17" s="316" t="s">
        <v>624</v>
      </c>
      <c r="P17" s="317"/>
      <c r="Q17" s="318"/>
      <c r="R17" s="316" t="s">
        <v>625</v>
      </c>
      <c r="S17" s="317"/>
      <c r="T17" s="317"/>
      <c r="U17" s="317"/>
      <c r="V17" s="317"/>
      <c r="W17" s="317"/>
      <c r="X17" s="319"/>
    </row>
    <row r="18" ht="15.75" customHeight="1">
      <c r="A18" s="320">
        <v>2.2</v>
      </c>
      <c r="B18" s="321" t="s">
        <v>626</v>
      </c>
      <c r="C18" s="322"/>
      <c r="D18" s="322"/>
      <c r="E18" s="322"/>
      <c r="F18" s="322"/>
      <c r="G18" s="322"/>
      <c r="H18" s="337" t="s">
        <v>627</v>
      </c>
      <c r="I18" s="322"/>
      <c r="J18" s="322"/>
      <c r="K18" s="322"/>
      <c r="L18" s="322"/>
      <c r="M18" s="322"/>
      <c r="N18" s="323"/>
      <c r="O18" s="321" t="s">
        <v>628</v>
      </c>
      <c r="P18" s="322"/>
      <c r="Q18" s="323"/>
      <c r="R18" s="321" t="s">
        <v>625</v>
      </c>
      <c r="S18" s="322"/>
      <c r="T18" s="322"/>
      <c r="U18" s="322"/>
      <c r="V18" s="322"/>
      <c r="W18" s="322"/>
      <c r="X18" s="324"/>
    </row>
    <row r="19" ht="15.75" customHeight="1">
      <c r="A19" s="320">
        <v>2.3</v>
      </c>
      <c r="B19" s="321" t="s">
        <v>629</v>
      </c>
      <c r="C19" s="322"/>
      <c r="D19" s="322"/>
      <c r="E19" s="322"/>
      <c r="F19" s="322"/>
      <c r="G19" s="322"/>
      <c r="H19" s="337" t="s">
        <v>630</v>
      </c>
      <c r="I19" s="322"/>
      <c r="J19" s="322"/>
      <c r="K19" s="322"/>
      <c r="L19" s="322"/>
      <c r="M19" s="322"/>
      <c r="N19" s="323"/>
      <c r="O19" s="321" t="s">
        <v>631</v>
      </c>
      <c r="P19" s="322"/>
      <c r="Q19" s="323"/>
      <c r="R19" s="321" t="s">
        <v>632</v>
      </c>
      <c r="S19" s="322"/>
      <c r="T19" s="322"/>
      <c r="U19" s="322"/>
      <c r="V19" s="322"/>
      <c r="W19" s="322"/>
      <c r="X19" s="324"/>
    </row>
    <row r="20" ht="15.75" customHeight="1">
      <c r="A20" s="315">
        <v>2.4</v>
      </c>
      <c r="B20" s="321" t="s">
        <v>633</v>
      </c>
      <c r="C20" s="322"/>
      <c r="D20" s="322"/>
      <c r="E20" s="322"/>
      <c r="F20" s="322"/>
      <c r="G20" s="322"/>
      <c r="H20" s="337" t="s">
        <v>634</v>
      </c>
      <c r="I20" s="322"/>
      <c r="J20" s="322"/>
      <c r="K20" s="322"/>
      <c r="L20" s="322"/>
      <c r="M20" s="322"/>
      <c r="N20" s="323"/>
      <c r="O20" s="321" t="s">
        <v>635</v>
      </c>
      <c r="P20" s="322"/>
      <c r="Q20" s="323"/>
      <c r="R20" s="321" t="s">
        <v>636</v>
      </c>
      <c r="S20" s="322"/>
      <c r="T20" s="322"/>
      <c r="U20" s="322"/>
      <c r="V20" s="322"/>
      <c r="W20" s="322"/>
      <c r="X20" s="324"/>
    </row>
    <row r="21" ht="15.75" customHeight="1">
      <c r="A21" s="320">
        <v>2.5</v>
      </c>
      <c r="B21" s="321" t="s">
        <v>637</v>
      </c>
      <c r="C21" s="322"/>
      <c r="D21" s="322"/>
      <c r="E21" s="322"/>
      <c r="F21" s="322"/>
      <c r="G21" s="322"/>
      <c r="H21" s="337" t="s">
        <v>638</v>
      </c>
      <c r="I21" s="322"/>
      <c r="J21" s="322"/>
      <c r="K21" s="322"/>
      <c r="L21" s="322"/>
      <c r="M21" s="322"/>
      <c r="N21" s="323"/>
      <c r="O21" s="321" t="s">
        <v>639</v>
      </c>
      <c r="P21" s="322"/>
      <c r="Q21" s="323"/>
      <c r="R21" s="321" t="s">
        <v>636</v>
      </c>
      <c r="S21" s="322"/>
      <c r="T21" s="322"/>
      <c r="U21" s="322"/>
      <c r="V21" s="322"/>
      <c r="W21" s="322"/>
      <c r="X21" s="324"/>
    </row>
    <row r="22" ht="15.75" customHeight="1">
      <c r="A22" s="320"/>
      <c r="B22" s="331"/>
      <c r="C22" s="332"/>
      <c r="D22" s="332"/>
      <c r="E22" s="332"/>
      <c r="F22" s="332"/>
      <c r="G22" s="332"/>
      <c r="H22" s="346"/>
      <c r="I22" s="332"/>
      <c r="J22" s="332"/>
      <c r="K22" s="332"/>
      <c r="L22" s="332"/>
      <c r="M22" s="332"/>
      <c r="N22" s="333"/>
      <c r="O22" s="331"/>
      <c r="P22" s="332"/>
      <c r="Q22" s="333"/>
      <c r="R22" s="331"/>
      <c r="S22" s="332"/>
      <c r="T22" s="332"/>
      <c r="U22" s="332"/>
      <c r="V22" s="332"/>
      <c r="W22" s="332"/>
      <c r="X22" s="334"/>
    </row>
    <row r="23" ht="15.75" customHeight="1">
      <c r="A23" s="49" t="s">
        <v>640</v>
      </c>
      <c r="B23" s="50"/>
      <c r="C23" s="50"/>
      <c r="D23" s="50"/>
      <c r="E23" s="50"/>
      <c r="F23" s="50"/>
      <c r="G23" s="50"/>
      <c r="H23" s="50"/>
      <c r="I23" s="50"/>
      <c r="J23" s="50"/>
      <c r="K23" s="50"/>
      <c r="L23" s="50"/>
      <c r="M23" s="50"/>
      <c r="N23" s="50"/>
      <c r="O23" s="50"/>
      <c r="P23" s="50"/>
      <c r="Q23" s="50"/>
      <c r="R23" s="50"/>
      <c r="S23" s="50"/>
      <c r="T23" s="50"/>
      <c r="U23" s="50"/>
      <c r="V23" s="50"/>
      <c r="W23" s="50"/>
      <c r="X23" s="335"/>
    </row>
    <row r="24" ht="15.75" customHeight="1">
      <c r="A24" s="168" t="s">
        <v>112</v>
      </c>
      <c r="B24" s="76" t="s">
        <v>641</v>
      </c>
      <c r="C24" s="50"/>
      <c r="D24" s="50"/>
      <c r="E24" s="50"/>
      <c r="F24" s="50"/>
      <c r="G24" s="50"/>
      <c r="H24" s="50"/>
      <c r="I24" s="76" t="s">
        <v>642</v>
      </c>
      <c r="J24" s="50"/>
      <c r="K24" s="50"/>
      <c r="L24" s="50"/>
      <c r="M24" s="50"/>
      <c r="N24" s="50"/>
      <c r="O24" s="50"/>
      <c r="P24" s="50"/>
      <c r="Q24" s="51"/>
      <c r="R24" s="76" t="s">
        <v>643</v>
      </c>
      <c r="S24" s="50"/>
      <c r="T24" s="50"/>
      <c r="U24" s="50"/>
      <c r="V24" s="50"/>
      <c r="W24" s="50"/>
      <c r="X24" s="51"/>
    </row>
    <row r="25" ht="15.75" customHeight="1">
      <c r="A25" s="315">
        <v>3.1</v>
      </c>
      <c r="B25" s="347"/>
      <c r="C25" s="348"/>
      <c r="D25" s="348"/>
      <c r="E25" s="348"/>
      <c r="F25" s="348"/>
      <c r="G25" s="348"/>
      <c r="H25" s="348"/>
      <c r="I25" s="347"/>
      <c r="J25" s="348"/>
      <c r="K25" s="348"/>
      <c r="L25" s="348"/>
      <c r="M25" s="348"/>
      <c r="N25" s="348"/>
      <c r="O25" s="348"/>
      <c r="P25" s="348"/>
      <c r="Q25" s="348"/>
      <c r="R25" s="316"/>
      <c r="S25" s="317"/>
      <c r="T25" s="317"/>
      <c r="U25" s="317"/>
      <c r="V25" s="317"/>
      <c r="W25" s="317"/>
      <c r="X25" s="319"/>
    </row>
    <row r="26" ht="15.75" customHeight="1">
      <c r="A26" s="320">
        <v>3.2</v>
      </c>
      <c r="B26" s="349"/>
      <c r="C26" s="350"/>
      <c r="D26" s="350"/>
      <c r="E26" s="350"/>
      <c r="F26" s="350"/>
      <c r="G26" s="350"/>
      <c r="H26" s="350"/>
      <c r="I26" s="349"/>
      <c r="J26" s="350"/>
      <c r="K26" s="350"/>
      <c r="L26" s="350"/>
      <c r="M26" s="350"/>
      <c r="N26" s="350"/>
      <c r="O26" s="350"/>
      <c r="P26" s="350"/>
      <c r="Q26" s="350"/>
      <c r="R26" s="321"/>
      <c r="S26" s="322"/>
      <c r="T26" s="322"/>
      <c r="U26" s="322"/>
      <c r="V26" s="322"/>
      <c r="W26" s="322"/>
      <c r="X26" s="324"/>
    </row>
    <row r="27" ht="15.75" customHeight="1">
      <c r="A27" s="320"/>
      <c r="B27" s="349"/>
      <c r="C27" s="350"/>
      <c r="D27" s="350"/>
      <c r="E27" s="350"/>
      <c r="F27" s="350"/>
      <c r="G27" s="350"/>
      <c r="H27" s="350"/>
      <c r="I27" s="349"/>
      <c r="J27" s="350"/>
      <c r="K27" s="350"/>
      <c r="L27" s="350"/>
      <c r="M27" s="350"/>
      <c r="N27" s="350"/>
      <c r="O27" s="350"/>
      <c r="P27" s="350"/>
      <c r="Q27" s="350"/>
      <c r="R27" s="321"/>
      <c r="S27" s="322"/>
      <c r="T27" s="322"/>
      <c r="U27" s="322"/>
      <c r="V27" s="322"/>
      <c r="W27" s="322"/>
      <c r="X27" s="324"/>
    </row>
    <row r="28" ht="15.75" customHeight="1">
      <c r="A28" s="320"/>
      <c r="B28" s="349"/>
      <c r="C28" s="350"/>
      <c r="D28" s="350"/>
      <c r="E28" s="350"/>
      <c r="F28" s="350"/>
      <c r="G28" s="350"/>
      <c r="H28" s="350"/>
      <c r="I28" s="349"/>
      <c r="J28" s="350"/>
      <c r="K28" s="350"/>
      <c r="L28" s="350"/>
      <c r="M28" s="350"/>
      <c r="N28" s="350"/>
      <c r="O28" s="350"/>
      <c r="P28" s="350"/>
      <c r="Q28" s="350"/>
      <c r="R28" s="321"/>
      <c r="S28" s="322"/>
      <c r="T28" s="322"/>
      <c r="U28" s="322"/>
      <c r="V28" s="322"/>
      <c r="W28" s="322"/>
      <c r="X28" s="324"/>
    </row>
    <row r="29" ht="15.75" customHeight="1">
      <c r="A29" s="330"/>
      <c r="B29" s="349"/>
      <c r="C29" s="350"/>
      <c r="D29" s="350"/>
      <c r="E29" s="350"/>
      <c r="F29" s="350"/>
      <c r="G29" s="350"/>
      <c r="H29" s="350"/>
      <c r="I29" s="349"/>
      <c r="J29" s="350"/>
      <c r="K29" s="350"/>
      <c r="L29" s="350"/>
      <c r="M29" s="350"/>
      <c r="N29" s="350"/>
      <c r="O29" s="350"/>
      <c r="P29" s="350"/>
      <c r="Q29" s="350"/>
      <c r="R29" s="331"/>
      <c r="S29" s="332"/>
      <c r="T29" s="332"/>
      <c r="U29" s="332"/>
      <c r="V29" s="332"/>
      <c r="W29" s="332"/>
      <c r="X29" s="334"/>
    </row>
    <row r="30" ht="15.75" customHeight="1">
      <c r="A30" s="330"/>
      <c r="B30" s="351"/>
      <c r="C30" s="352"/>
      <c r="D30" s="352"/>
      <c r="E30" s="352"/>
      <c r="F30" s="352"/>
      <c r="G30" s="352"/>
      <c r="H30" s="352"/>
      <c r="I30" s="351"/>
      <c r="J30" s="352"/>
      <c r="K30" s="352"/>
      <c r="L30" s="352"/>
      <c r="M30" s="352"/>
      <c r="N30" s="352"/>
      <c r="O30" s="352"/>
      <c r="P30" s="352"/>
      <c r="Q30" s="352"/>
      <c r="R30" s="331"/>
      <c r="S30" s="332"/>
      <c r="T30" s="332"/>
      <c r="U30" s="332"/>
      <c r="V30" s="332"/>
      <c r="W30" s="332"/>
      <c r="X30" s="334"/>
    </row>
    <row r="31" ht="15.75" customHeight="1">
      <c r="A31" s="49" t="s">
        <v>644</v>
      </c>
      <c r="B31" s="50"/>
      <c r="C31" s="50"/>
      <c r="D31" s="50"/>
      <c r="E31" s="50"/>
      <c r="F31" s="50"/>
      <c r="G31" s="50"/>
      <c r="H31" s="50"/>
      <c r="I31" s="50"/>
      <c r="J31" s="50"/>
      <c r="K31" s="50"/>
      <c r="L31" s="50"/>
      <c r="M31" s="50"/>
      <c r="N31" s="50"/>
      <c r="O31" s="50"/>
      <c r="P31" s="50"/>
      <c r="Q31" s="50"/>
      <c r="R31" s="50"/>
      <c r="S31" s="50"/>
      <c r="T31" s="50"/>
      <c r="U31" s="50"/>
      <c r="V31" s="50"/>
      <c r="W31" s="50"/>
      <c r="X31" s="51"/>
    </row>
    <row r="32" ht="15.75" customHeight="1">
      <c r="A32" s="168" t="s">
        <v>645</v>
      </c>
      <c r="B32" s="76" t="s">
        <v>12</v>
      </c>
      <c r="C32" s="50"/>
      <c r="D32" s="50"/>
      <c r="E32" s="50"/>
      <c r="F32" s="50"/>
      <c r="G32" s="50"/>
      <c r="H32" s="51"/>
      <c r="I32" s="76" t="s">
        <v>646</v>
      </c>
      <c r="J32" s="50"/>
      <c r="K32" s="50"/>
      <c r="L32" s="50"/>
      <c r="M32" s="50"/>
      <c r="N32" s="50"/>
      <c r="O32" s="50"/>
      <c r="P32" s="50"/>
      <c r="Q32" s="51"/>
      <c r="R32" s="76" t="s">
        <v>647</v>
      </c>
      <c r="S32" s="50"/>
      <c r="T32" s="51"/>
      <c r="U32" s="76" t="s">
        <v>648</v>
      </c>
      <c r="V32" s="50"/>
      <c r="W32" s="50"/>
      <c r="X32" s="51"/>
    </row>
    <row r="33" ht="15.75" customHeight="1">
      <c r="A33" s="353"/>
      <c r="B33" s="354"/>
      <c r="C33" s="355"/>
      <c r="D33" s="355"/>
      <c r="E33" s="355"/>
      <c r="F33" s="355"/>
      <c r="G33" s="355"/>
      <c r="H33" s="355"/>
      <c r="I33" s="354"/>
      <c r="J33" s="355"/>
      <c r="K33" s="355"/>
      <c r="L33" s="355"/>
      <c r="M33" s="355"/>
      <c r="N33" s="355"/>
      <c r="O33" s="355"/>
      <c r="P33" s="355"/>
      <c r="Q33" s="355"/>
      <c r="R33" s="356"/>
      <c r="T33" s="341"/>
      <c r="U33" s="83"/>
      <c r="X33" s="80"/>
    </row>
    <row r="34" ht="15.75" customHeight="1">
      <c r="A34" s="330"/>
      <c r="B34" s="349"/>
      <c r="C34" s="350"/>
      <c r="D34" s="350"/>
      <c r="E34" s="350"/>
      <c r="F34" s="350"/>
      <c r="G34" s="350"/>
      <c r="H34" s="350"/>
      <c r="I34" s="349" t="s">
        <v>649</v>
      </c>
      <c r="J34" s="350"/>
      <c r="K34" s="350"/>
      <c r="L34" s="350"/>
      <c r="M34" s="350"/>
      <c r="N34" s="350"/>
      <c r="O34" s="350"/>
      <c r="P34" s="350"/>
      <c r="Q34" s="350"/>
      <c r="R34" s="331"/>
      <c r="S34" s="332"/>
      <c r="T34" s="333"/>
      <c r="U34" s="357"/>
      <c r="V34" s="332"/>
      <c r="W34" s="332"/>
      <c r="X34" s="334"/>
    </row>
    <row r="35" ht="15.75" customHeight="1">
      <c r="A35" s="330"/>
      <c r="B35" s="349"/>
      <c r="C35" s="350"/>
      <c r="D35" s="350"/>
      <c r="E35" s="350"/>
      <c r="F35" s="350"/>
      <c r="G35" s="350"/>
      <c r="H35" s="350"/>
      <c r="I35" s="349"/>
      <c r="J35" s="350"/>
      <c r="K35" s="350"/>
      <c r="L35" s="350"/>
      <c r="M35" s="350"/>
      <c r="N35" s="350"/>
      <c r="O35" s="350"/>
      <c r="P35" s="350"/>
      <c r="Q35" s="350"/>
      <c r="R35" s="331"/>
      <c r="S35" s="332"/>
      <c r="T35" s="333"/>
      <c r="U35" s="357"/>
      <c r="V35" s="332"/>
      <c r="W35" s="332"/>
      <c r="X35" s="334"/>
    </row>
    <row r="36" ht="15.75" customHeight="1">
      <c r="A36" s="325"/>
      <c r="B36" s="358"/>
      <c r="C36" s="359"/>
      <c r="D36" s="359"/>
      <c r="E36" s="359"/>
      <c r="F36" s="359"/>
      <c r="G36" s="359"/>
      <c r="H36" s="359"/>
      <c r="I36" s="358"/>
      <c r="J36" s="359"/>
      <c r="K36" s="359"/>
      <c r="L36" s="359"/>
      <c r="M36" s="359"/>
      <c r="N36" s="359"/>
      <c r="O36" s="359"/>
      <c r="P36" s="359"/>
      <c r="Q36" s="359"/>
      <c r="R36" s="326"/>
      <c r="S36" s="327"/>
      <c r="T36" s="328"/>
      <c r="U36" s="360"/>
      <c r="V36" s="327"/>
      <c r="W36" s="327"/>
      <c r="X36" s="329"/>
    </row>
    <row r="37" ht="15.75" customHeight="1">
      <c r="A37" s="296" t="s">
        <v>650</v>
      </c>
      <c r="B37" s="9"/>
      <c r="C37" s="9"/>
      <c r="D37" s="9"/>
      <c r="E37" s="9"/>
      <c r="F37" s="9"/>
      <c r="G37" s="9"/>
      <c r="H37" s="9"/>
      <c r="I37" s="9"/>
      <c r="J37" s="9"/>
      <c r="K37" s="9"/>
      <c r="L37" s="9"/>
      <c r="M37" s="9"/>
      <c r="N37" s="9"/>
      <c r="O37" s="9"/>
      <c r="P37" s="9"/>
      <c r="Q37" s="9"/>
      <c r="R37" s="9"/>
      <c r="S37" s="9"/>
      <c r="T37" s="9"/>
      <c r="U37" s="9"/>
      <c r="V37" s="9"/>
      <c r="W37" s="9"/>
      <c r="X37" s="10"/>
    </row>
    <row r="38" ht="15.75" customHeight="1">
      <c r="A38" s="168" t="s">
        <v>112</v>
      </c>
      <c r="B38" s="76" t="s">
        <v>278</v>
      </c>
      <c r="C38" s="50"/>
      <c r="D38" s="50"/>
      <c r="E38" s="50"/>
      <c r="F38" s="50"/>
      <c r="G38" s="50"/>
      <c r="H38" s="51"/>
      <c r="I38" s="76" t="s">
        <v>40</v>
      </c>
      <c r="J38" s="50"/>
      <c r="K38" s="50"/>
      <c r="L38" s="50"/>
      <c r="M38" s="50"/>
      <c r="N38" s="50"/>
      <c r="O38" s="50"/>
      <c r="P38" s="50"/>
      <c r="Q38" s="51"/>
      <c r="R38" s="76" t="s">
        <v>651</v>
      </c>
      <c r="S38" s="50"/>
      <c r="T38" s="51"/>
      <c r="U38" s="76" t="s">
        <v>235</v>
      </c>
      <c r="V38" s="50"/>
      <c r="W38" s="50"/>
      <c r="X38" s="51"/>
    </row>
    <row r="39" ht="15.75" customHeight="1">
      <c r="A39" s="353"/>
      <c r="B39" s="354"/>
      <c r="C39" s="355"/>
      <c r="D39" s="355"/>
      <c r="E39" s="355"/>
      <c r="F39" s="355"/>
      <c r="G39" s="355"/>
      <c r="H39" s="355"/>
      <c r="I39" s="354" t="s">
        <v>649</v>
      </c>
      <c r="J39" s="355"/>
      <c r="K39" s="355"/>
      <c r="L39" s="355"/>
      <c r="M39" s="355"/>
      <c r="N39" s="355"/>
      <c r="O39" s="355"/>
      <c r="P39" s="355"/>
      <c r="Q39" s="355"/>
      <c r="R39" s="356"/>
      <c r="T39" s="341"/>
      <c r="U39" s="83"/>
      <c r="X39" s="80"/>
    </row>
    <row r="40" ht="15.75" customHeight="1">
      <c r="A40" s="320"/>
      <c r="B40" s="361"/>
      <c r="C40" s="362"/>
      <c r="D40" s="362"/>
      <c r="E40" s="362"/>
      <c r="F40" s="362"/>
      <c r="G40" s="362"/>
      <c r="H40" s="362"/>
      <c r="I40" s="361"/>
      <c r="J40" s="362"/>
      <c r="K40" s="362"/>
      <c r="L40" s="362"/>
      <c r="M40" s="362"/>
      <c r="N40" s="362"/>
      <c r="O40" s="362"/>
      <c r="P40" s="362"/>
      <c r="Q40" s="362"/>
      <c r="R40" s="321"/>
      <c r="S40" s="322"/>
      <c r="T40" s="323"/>
      <c r="U40" s="363"/>
      <c r="V40" s="322"/>
      <c r="W40" s="322"/>
      <c r="X40" s="324"/>
    </row>
    <row r="41" ht="15.75" customHeight="1">
      <c r="A41" s="320"/>
      <c r="B41" s="321"/>
      <c r="C41" s="322"/>
      <c r="D41" s="322"/>
      <c r="E41" s="322"/>
      <c r="F41" s="322"/>
      <c r="G41" s="322"/>
      <c r="H41" s="322"/>
      <c r="I41" s="321"/>
      <c r="J41" s="322"/>
      <c r="K41" s="322"/>
      <c r="L41" s="322"/>
      <c r="M41" s="322"/>
      <c r="N41" s="322"/>
      <c r="O41" s="322"/>
      <c r="P41" s="322"/>
      <c r="Q41" s="322"/>
      <c r="R41" s="321"/>
      <c r="S41" s="322"/>
      <c r="T41" s="323"/>
      <c r="U41" s="363"/>
      <c r="V41" s="322"/>
      <c r="W41" s="322"/>
      <c r="X41" s="324"/>
    </row>
    <row r="42" ht="15.75" customHeight="1">
      <c r="A42" s="320"/>
      <c r="B42" s="364"/>
      <c r="C42" s="365"/>
      <c r="D42" s="365"/>
      <c r="E42" s="365"/>
      <c r="F42" s="365"/>
      <c r="G42" s="365"/>
      <c r="H42" s="366"/>
      <c r="I42" s="364" t="s">
        <v>649</v>
      </c>
      <c r="J42" s="365"/>
      <c r="K42" s="365"/>
      <c r="L42" s="365"/>
      <c r="M42" s="365"/>
      <c r="N42" s="365"/>
      <c r="O42" s="365"/>
      <c r="P42" s="365"/>
      <c r="Q42" s="366"/>
      <c r="R42" s="321"/>
      <c r="S42" s="322"/>
      <c r="T42" s="323"/>
      <c r="U42" s="321"/>
      <c r="V42" s="322"/>
      <c r="W42" s="322"/>
      <c r="X42" s="324"/>
    </row>
    <row r="43" ht="15.75" customHeight="1">
      <c r="A43" s="330"/>
      <c r="B43" s="367"/>
      <c r="C43" s="368"/>
      <c r="D43" s="368"/>
      <c r="E43" s="368"/>
      <c r="F43" s="368"/>
      <c r="G43" s="368"/>
      <c r="H43" s="369"/>
      <c r="I43" s="367"/>
      <c r="J43" s="368"/>
      <c r="K43" s="368"/>
      <c r="L43" s="368"/>
      <c r="M43" s="368"/>
      <c r="N43" s="368"/>
      <c r="O43" s="368"/>
      <c r="P43" s="368"/>
      <c r="Q43" s="369"/>
      <c r="R43" s="331"/>
      <c r="S43" s="332"/>
      <c r="T43" s="333"/>
      <c r="U43" s="331"/>
      <c r="V43" s="332"/>
      <c r="W43" s="332"/>
      <c r="X43" s="334"/>
    </row>
    <row r="44" ht="15.75" customHeight="1">
      <c r="A44" s="160" t="s">
        <v>652</v>
      </c>
      <c r="B44" s="50"/>
      <c r="C44" s="50"/>
      <c r="D44" s="50"/>
      <c r="E44" s="50"/>
      <c r="F44" s="50"/>
      <c r="G44" s="50"/>
      <c r="H44" s="50"/>
      <c r="I44" s="50"/>
      <c r="J44" s="50"/>
      <c r="K44" s="50"/>
      <c r="L44" s="50"/>
      <c r="M44" s="50"/>
      <c r="N44" s="50"/>
      <c r="O44" s="50"/>
      <c r="P44" s="50"/>
      <c r="Q44" s="50"/>
      <c r="R44" s="50"/>
      <c r="S44" s="50"/>
      <c r="T44" s="50"/>
      <c r="U44" s="50"/>
      <c r="V44" s="50"/>
      <c r="W44" s="50"/>
      <c r="X44" s="51"/>
    </row>
    <row r="45" ht="15.75" customHeight="1">
      <c r="A45" s="303" t="s">
        <v>653</v>
      </c>
      <c r="B45" s="119"/>
      <c r="C45" s="119"/>
      <c r="D45" s="119"/>
      <c r="E45" s="119"/>
      <c r="F45" s="120"/>
      <c r="G45" s="304"/>
      <c r="H45" s="119"/>
      <c r="I45" s="119"/>
      <c r="J45" s="119"/>
      <c r="K45" s="119"/>
      <c r="L45" s="119"/>
      <c r="M45" s="119"/>
      <c r="N45" s="119"/>
      <c r="O45" s="119"/>
      <c r="P45" s="119"/>
      <c r="Q45" s="119"/>
      <c r="R45" s="370" t="s">
        <v>449</v>
      </c>
      <c r="S45" s="175"/>
      <c r="T45" s="176"/>
      <c r="U45" s="371"/>
      <c r="V45" s="119"/>
      <c r="W45" s="119"/>
      <c r="X45" s="185"/>
    </row>
    <row r="46" ht="15.75" customHeight="1">
      <c r="A46" s="307" t="s">
        <v>654</v>
      </c>
      <c r="B46" s="175"/>
      <c r="C46" s="175"/>
      <c r="D46" s="175"/>
      <c r="E46" s="175"/>
      <c r="F46" s="308"/>
      <c r="G46" s="309"/>
      <c r="H46" s="175"/>
      <c r="I46" s="175"/>
      <c r="J46" s="175"/>
      <c r="K46" s="175"/>
      <c r="L46" s="175"/>
      <c r="M46" s="175"/>
      <c r="N46" s="175"/>
      <c r="O46" s="175"/>
      <c r="P46" s="175"/>
      <c r="Q46" s="175"/>
      <c r="R46" s="175"/>
      <c r="S46" s="175"/>
      <c r="T46" s="175"/>
      <c r="U46" s="175"/>
      <c r="V46" s="175"/>
      <c r="W46" s="175"/>
      <c r="X46" s="177"/>
    </row>
    <row r="47" ht="15.75" customHeight="1">
      <c r="A47" s="310" t="s">
        <v>655</v>
      </c>
      <c r="B47" s="311"/>
      <c r="C47" s="311"/>
      <c r="D47" s="311"/>
      <c r="E47" s="311"/>
      <c r="F47" s="312"/>
      <c r="G47" s="313"/>
      <c r="H47" s="311"/>
      <c r="I47" s="311"/>
      <c r="J47" s="311"/>
      <c r="K47" s="311"/>
      <c r="L47" s="311"/>
      <c r="M47" s="311"/>
      <c r="N47" s="311"/>
      <c r="O47" s="311"/>
      <c r="P47" s="311"/>
      <c r="Q47" s="311"/>
      <c r="R47" s="311"/>
      <c r="S47" s="311"/>
      <c r="T47" s="311"/>
      <c r="U47" s="311"/>
      <c r="V47" s="311"/>
      <c r="W47" s="311"/>
      <c r="X47" s="31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2">
    <mergeCell ref="A12:E12"/>
    <mergeCell ref="A13:E13"/>
    <mergeCell ref="A14:E14"/>
    <mergeCell ref="A15:X15"/>
    <mergeCell ref="H16:N16"/>
    <mergeCell ref="O16:Q16"/>
    <mergeCell ref="R16:X16"/>
    <mergeCell ref="B16:G16"/>
    <mergeCell ref="B17:G17"/>
    <mergeCell ref="H17:N17"/>
    <mergeCell ref="O17:Q17"/>
    <mergeCell ref="R17:X17"/>
    <mergeCell ref="B18:G18"/>
    <mergeCell ref="H18:N18"/>
    <mergeCell ref="R35:T35"/>
    <mergeCell ref="U35:X35"/>
    <mergeCell ref="B33:H33"/>
    <mergeCell ref="B34:H34"/>
    <mergeCell ref="I34:Q34"/>
    <mergeCell ref="R34:T34"/>
    <mergeCell ref="U34:X34"/>
    <mergeCell ref="B35:H35"/>
    <mergeCell ref="I35:Q35"/>
    <mergeCell ref="R38:T38"/>
    <mergeCell ref="U38:X38"/>
    <mergeCell ref="B36:H36"/>
    <mergeCell ref="I36:Q36"/>
    <mergeCell ref="R36:T36"/>
    <mergeCell ref="U36:X36"/>
    <mergeCell ref="A37:X37"/>
    <mergeCell ref="B38:H38"/>
    <mergeCell ref="I38:Q38"/>
    <mergeCell ref="B39:H39"/>
    <mergeCell ref="I39:Q39"/>
    <mergeCell ref="R39:T39"/>
    <mergeCell ref="U39:X39"/>
    <mergeCell ref="I40:Q40"/>
    <mergeCell ref="R40:T40"/>
    <mergeCell ref="U40:X40"/>
    <mergeCell ref="B40:H40"/>
    <mergeCell ref="B41:H41"/>
    <mergeCell ref="I41:Q41"/>
    <mergeCell ref="R41:T41"/>
    <mergeCell ref="U41:X41"/>
    <mergeCell ref="B42:H42"/>
    <mergeCell ref="I42:Q42"/>
    <mergeCell ref="R45:T45"/>
    <mergeCell ref="U45:X45"/>
    <mergeCell ref="A46:F46"/>
    <mergeCell ref="G46:X46"/>
    <mergeCell ref="A47:F47"/>
    <mergeCell ref="G47:X47"/>
    <mergeCell ref="B43:H43"/>
    <mergeCell ref="I43:Q43"/>
    <mergeCell ref="R43:T43"/>
    <mergeCell ref="U43:X43"/>
    <mergeCell ref="A44:X44"/>
    <mergeCell ref="A45:F45"/>
    <mergeCell ref="G45:Q45"/>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R42:T42"/>
    <mergeCell ref="U42:X42"/>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E10"/>
    <mergeCell ref="F10:P10"/>
    <mergeCell ref="F13:X13"/>
    <mergeCell ref="F14:X14"/>
    <mergeCell ref="A11:E11"/>
    <mergeCell ref="F11:P11"/>
    <mergeCell ref="Q11:T11"/>
    <mergeCell ref="U11:X11"/>
    <mergeCell ref="F12:P12"/>
    <mergeCell ref="Q12:T12"/>
    <mergeCell ref="U12:X12"/>
    <mergeCell ref="O18:Q18"/>
    <mergeCell ref="R18:X18"/>
    <mergeCell ref="B19:G19"/>
    <mergeCell ref="H19:N19"/>
    <mergeCell ref="O19:Q19"/>
    <mergeCell ref="R19:X19"/>
    <mergeCell ref="B20:G20"/>
    <mergeCell ref="R20:X20"/>
    <mergeCell ref="H20:N20"/>
    <mergeCell ref="O20:Q20"/>
    <mergeCell ref="B21:G21"/>
    <mergeCell ref="H21:N21"/>
    <mergeCell ref="O21:Q21"/>
    <mergeCell ref="R21:X21"/>
    <mergeCell ref="B22:G22"/>
    <mergeCell ref="R22:X22"/>
    <mergeCell ref="I25:Q25"/>
    <mergeCell ref="R25:X25"/>
    <mergeCell ref="H22:N22"/>
    <mergeCell ref="O22:Q22"/>
    <mergeCell ref="A23:X23"/>
    <mergeCell ref="B24:H24"/>
    <mergeCell ref="I24:Q24"/>
    <mergeCell ref="R24:X24"/>
    <mergeCell ref="B25:H25"/>
    <mergeCell ref="I28:Q28"/>
    <mergeCell ref="R28:X28"/>
    <mergeCell ref="B26:H26"/>
    <mergeCell ref="I26:Q26"/>
    <mergeCell ref="R26:X26"/>
    <mergeCell ref="B27:H27"/>
    <mergeCell ref="I27:Q27"/>
    <mergeCell ref="R27:X27"/>
    <mergeCell ref="B28:H28"/>
    <mergeCell ref="B29:H29"/>
    <mergeCell ref="I29:Q29"/>
    <mergeCell ref="R29:X29"/>
    <mergeCell ref="B30:H30"/>
    <mergeCell ref="I30:Q30"/>
    <mergeCell ref="R30:X30"/>
    <mergeCell ref="A31:X31"/>
    <mergeCell ref="B32:H32"/>
    <mergeCell ref="I32:Q32"/>
    <mergeCell ref="R32:T32"/>
    <mergeCell ref="U32:X32"/>
    <mergeCell ref="I33:Q33"/>
    <mergeCell ref="R33:T33"/>
    <mergeCell ref="U33:X3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206" t="s">
        <v>0</v>
      </c>
      <c r="B1" s="207"/>
      <c r="C1" s="208"/>
      <c r="D1" s="207"/>
      <c r="E1" s="209" t="s">
        <v>1</v>
      </c>
      <c r="F1" s="207"/>
      <c r="G1" s="208" t="s">
        <v>656</v>
      </c>
      <c r="H1" s="207"/>
      <c r="I1" s="209" t="s">
        <v>2</v>
      </c>
      <c r="J1" s="207"/>
      <c r="K1" s="210"/>
      <c r="L1" s="207"/>
      <c r="M1" s="211" t="s">
        <v>3</v>
      </c>
      <c r="N1" s="207"/>
      <c r="O1" s="212">
        <v>4.0</v>
      </c>
      <c r="P1" s="207"/>
      <c r="Q1" s="209" t="s">
        <v>4</v>
      </c>
      <c r="R1" s="207"/>
      <c r="S1" s="372" t="s">
        <v>657</v>
      </c>
      <c r="T1" s="207"/>
      <c r="U1" s="213"/>
      <c r="V1" s="214"/>
      <c r="W1" s="214"/>
      <c r="X1" s="215"/>
    </row>
    <row r="2" ht="15.75" customHeight="1">
      <c r="A2" s="216" t="s">
        <v>5</v>
      </c>
      <c r="B2" s="12"/>
      <c r="C2" s="13"/>
      <c r="D2" s="12"/>
      <c r="E2" s="14" t="s">
        <v>6</v>
      </c>
      <c r="F2" s="12"/>
      <c r="G2" s="13"/>
      <c r="H2" s="12"/>
      <c r="I2" s="14" t="s">
        <v>7</v>
      </c>
      <c r="J2" s="12"/>
      <c r="K2" s="15"/>
      <c r="L2" s="12"/>
      <c r="M2" s="16" t="s">
        <v>8</v>
      </c>
      <c r="N2" s="12"/>
      <c r="O2" s="13" t="s">
        <v>9</v>
      </c>
      <c r="P2" s="12"/>
      <c r="Q2" s="14" t="s">
        <v>10</v>
      </c>
      <c r="R2" s="12"/>
      <c r="S2" s="13" t="s">
        <v>590</v>
      </c>
      <c r="T2" s="12"/>
      <c r="U2" s="217"/>
      <c r="V2" s="218"/>
      <c r="W2" s="218"/>
      <c r="X2" s="219"/>
    </row>
    <row r="3" ht="15.75" customHeight="1">
      <c r="A3" s="216" t="s">
        <v>11</v>
      </c>
      <c r="B3" s="12"/>
      <c r="C3" s="13"/>
      <c r="D3" s="12"/>
      <c r="E3" s="14" t="s">
        <v>12</v>
      </c>
      <c r="F3" s="12"/>
      <c r="G3" s="13" t="s">
        <v>135</v>
      </c>
      <c r="H3" s="12"/>
      <c r="I3" s="14" t="s">
        <v>13</v>
      </c>
      <c r="J3" s="12"/>
      <c r="K3" s="20"/>
      <c r="L3" s="12"/>
      <c r="M3" s="16" t="s">
        <v>14</v>
      </c>
      <c r="N3" s="12"/>
      <c r="O3" s="13" t="s">
        <v>15</v>
      </c>
      <c r="P3" s="12"/>
      <c r="Q3" s="14" t="s">
        <v>16</v>
      </c>
      <c r="R3" s="12"/>
      <c r="S3" s="13" t="s">
        <v>87</v>
      </c>
      <c r="T3" s="12"/>
      <c r="U3" s="220" t="s">
        <v>17</v>
      </c>
      <c r="V3" s="18"/>
      <c r="W3" s="18"/>
      <c r="X3" s="221"/>
    </row>
    <row r="4" ht="15.75" customHeight="1">
      <c r="A4" s="216" t="s">
        <v>18</v>
      </c>
      <c r="B4" s="12"/>
      <c r="C4" s="13" t="s">
        <v>19</v>
      </c>
      <c r="D4" s="12"/>
      <c r="E4" s="14" t="s">
        <v>20</v>
      </c>
      <c r="F4" s="12"/>
      <c r="G4" s="13" t="s">
        <v>656</v>
      </c>
      <c r="H4" s="12"/>
      <c r="I4" s="14" t="s">
        <v>21</v>
      </c>
      <c r="J4" s="12"/>
      <c r="K4" s="24"/>
      <c r="L4" s="25"/>
      <c r="M4" s="26" t="s">
        <v>22</v>
      </c>
      <c r="N4" s="27"/>
      <c r="O4" s="28">
        <v>0.0</v>
      </c>
      <c r="P4" s="27"/>
      <c r="Q4" s="14" t="s">
        <v>23</v>
      </c>
      <c r="R4" s="12"/>
      <c r="S4" s="20"/>
      <c r="T4" s="12"/>
      <c r="U4" s="29" t="s">
        <v>24</v>
      </c>
      <c r="V4" s="22"/>
      <c r="W4" s="22"/>
      <c r="X4" s="222"/>
    </row>
    <row r="5" ht="15.75" customHeight="1">
      <c r="A5" s="223" t="s">
        <v>25</v>
      </c>
      <c r="B5" s="27"/>
      <c r="C5" s="31"/>
      <c r="D5" s="27"/>
      <c r="E5" s="14" t="s">
        <v>27</v>
      </c>
      <c r="F5" s="12"/>
      <c r="G5" s="13" t="s">
        <v>611</v>
      </c>
      <c r="H5" s="12"/>
      <c r="I5" s="14" t="s">
        <v>28</v>
      </c>
      <c r="J5" s="12"/>
      <c r="K5" s="32"/>
      <c r="L5" s="33"/>
      <c r="M5" s="34"/>
      <c r="N5" s="35"/>
      <c r="O5" s="34"/>
      <c r="P5" s="35"/>
      <c r="Q5" s="36" t="s">
        <v>29</v>
      </c>
      <c r="R5" s="27"/>
      <c r="S5" s="37"/>
      <c r="T5" s="27"/>
      <c r="U5" s="38" t="s">
        <v>30</v>
      </c>
      <c r="V5" s="22"/>
      <c r="W5" s="22"/>
      <c r="X5" s="222"/>
    </row>
    <row r="6" ht="15.75" customHeight="1">
      <c r="A6" s="224"/>
      <c r="B6" s="225"/>
      <c r="C6" s="226"/>
      <c r="D6" s="225"/>
      <c r="E6" s="227" t="s">
        <v>31</v>
      </c>
      <c r="F6" s="228"/>
      <c r="G6" s="229" t="s">
        <v>137</v>
      </c>
      <c r="H6" s="228"/>
      <c r="I6" s="227" t="s">
        <v>32</v>
      </c>
      <c r="J6" s="228"/>
      <c r="K6" s="230"/>
      <c r="L6" s="228"/>
      <c r="M6" s="226"/>
      <c r="N6" s="225"/>
      <c r="O6" s="226"/>
      <c r="P6" s="225"/>
      <c r="Q6" s="226"/>
      <c r="R6" s="225"/>
      <c r="S6" s="226"/>
      <c r="T6" s="225"/>
      <c r="U6" s="231" t="s">
        <v>33</v>
      </c>
      <c r="V6" s="232"/>
      <c r="W6" s="232"/>
      <c r="X6" s="233"/>
    </row>
    <row r="7" ht="15.75" customHeight="1">
      <c r="A7" s="234" t="s">
        <v>311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658</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659</v>
      </c>
      <c r="B9" s="50"/>
      <c r="C9" s="50"/>
      <c r="D9" s="50"/>
      <c r="E9" s="50"/>
      <c r="F9" s="50"/>
      <c r="G9" s="50"/>
      <c r="H9" s="50"/>
      <c r="I9" s="50"/>
      <c r="J9" s="50"/>
      <c r="K9" s="50"/>
      <c r="L9" s="50"/>
      <c r="M9" s="50"/>
      <c r="N9" s="50"/>
      <c r="O9" s="50"/>
      <c r="P9" s="50"/>
      <c r="Q9" s="50"/>
      <c r="R9" s="50"/>
      <c r="S9" s="50"/>
      <c r="T9" s="50"/>
      <c r="U9" s="50"/>
      <c r="V9" s="50"/>
      <c r="W9" s="50"/>
      <c r="X9" s="51"/>
    </row>
    <row r="10" ht="15.75" customHeight="1">
      <c r="A10" s="373" t="s">
        <v>112</v>
      </c>
      <c r="B10" s="235" t="s">
        <v>660</v>
      </c>
      <c r="C10" s="50"/>
      <c r="D10" s="50"/>
      <c r="E10" s="50"/>
      <c r="F10" s="50"/>
      <c r="G10" s="50"/>
      <c r="H10" s="50"/>
      <c r="I10" s="50"/>
      <c r="J10" s="50"/>
      <c r="K10" s="50"/>
      <c r="L10" s="51"/>
      <c r="M10" s="235" t="s">
        <v>661</v>
      </c>
      <c r="N10" s="50"/>
      <c r="O10" s="50"/>
      <c r="P10" s="51"/>
      <c r="Q10" s="235" t="s">
        <v>662</v>
      </c>
      <c r="R10" s="50"/>
      <c r="S10" s="50"/>
      <c r="T10" s="51"/>
      <c r="U10" s="235" t="s">
        <v>663</v>
      </c>
      <c r="V10" s="50"/>
      <c r="W10" s="50"/>
      <c r="X10" s="51"/>
    </row>
    <row r="11" ht="15.75" customHeight="1">
      <c r="A11" s="374">
        <v>1.1</v>
      </c>
      <c r="B11" s="375" t="s">
        <v>574</v>
      </c>
      <c r="C11" s="317"/>
      <c r="D11" s="317"/>
      <c r="E11" s="317"/>
      <c r="F11" s="317"/>
      <c r="G11" s="317"/>
      <c r="H11" s="317"/>
      <c r="I11" s="317"/>
      <c r="J11" s="317"/>
      <c r="K11" s="317"/>
      <c r="L11" s="318"/>
      <c r="M11" s="375" t="s">
        <v>574</v>
      </c>
      <c r="N11" s="317"/>
      <c r="O11" s="317"/>
      <c r="P11" s="318"/>
      <c r="Q11" s="375" t="s">
        <v>664</v>
      </c>
      <c r="R11" s="317"/>
      <c r="S11" s="317"/>
      <c r="T11" s="318"/>
      <c r="U11" s="375" t="s">
        <v>574</v>
      </c>
      <c r="V11" s="317"/>
      <c r="W11" s="317"/>
      <c r="X11" s="319"/>
    </row>
    <row r="12" ht="15.75" customHeight="1">
      <c r="A12" s="376">
        <v>1.2</v>
      </c>
      <c r="B12" s="377" t="s">
        <v>574</v>
      </c>
      <c r="C12" s="322"/>
      <c r="D12" s="322"/>
      <c r="E12" s="322"/>
      <c r="F12" s="322"/>
      <c r="G12" s="322"/>
      <c r="H12" s="322"/>
      <c r="I12" s="322"/>
      <c r="J12" s="322"/>
      <c r="K12" s="322"/>
      <c r="L12" s="323"/>
      <c r="M12" s="377" t="s">
        <v>574</v>
      </c>
      <c r="N12" s="322"/>
      <c r="O12" s="322"/>
      <c r="P12" s="323"/>
      <c r="Q12" s="377" t="s">
        <v>664</v>
      </c>
      <c r="R12" s="322"/>
      <c r="S12" s="322"/>
      <c r="T12" s="323"/>
      <c r="U12" s="377" t="s">
        <v>574</v>
      </c>
      <c r="V12" s="322"/>
      <c r="W12" s="322"/>
      <c r="X12" s="324"/>
    </row>
    <row r="13" ht="15.75" customHeight="1">
      <c r="A13" s="376">
        <v>1.3</v>
      </c>
      <c r="B13" s="377" t="s">
        <v>574</v>
      </c>
      <c r="C13" s="322"/>
      <c r="D13" s="322"/>
      <c r="E13" s="322"/>
      <c r="F13" s="322"/>
      <c r="G13" s="322"/>
      <c r="H13" s="322"/>
      <c r="I13" s="322"/>
      <c r="J13" s="322"/>
      <c r="K13" s="322"/>
      <c r="L13" s="323"/>
      <c r="M13" s="377"/>
      <c r="N13" s="322"/>
      <c r="O13" s="322"/>
      <c r="P13" s="323"/>
      <c r="Q13" s="377"/>
      <c r="R13" s="322"/>
      <c r="S13" s="322"/>
      <c r="T13" s="323"/>
      <c r="U13" s="377"/>
      <c r="V13" s="322"/>
      <c r="W13" s="322"/>
      <c r="X13" s="324"/>
    </row>
    <row r="14" ht="15.75" customHeight="1">
      <c r="A14" s="376">
        <v>1.4</v>
      </c>
      <c r="B14" s="377"/>
      <c r="C14" s="322"/>
      <c r="D14" s="322"/>
      <c r="E14" s="322"/>
      <c r="F14" s="322"/>
      <c r="G14" s="322"/>
      <c r="H14" s="322"/>
      <c r="I14" s="322"/>
      <c r="J14" s="322"/>
      <c r="K14" s="322"/>
      <c r="L14" s="323"/>
      <c r="M14" s="377"/>
      <c r="N14" s="322"/>
      <c r="O14" s="322"/>
      <c r="P14" s="323"/>
      <c r="Q14" s="377"/>
      <c r="R14" s="322"/>
      <c r="S14" s="322"/>
      <c r="T14" s="323"/>
      <c r="U14" s="377"/>
      <c r="V14" s="322"/>
      <c r="W14" s="322"/>
      <c r="X14" s="324"/>
    </row>
    <row r="15" ht="15.75" customHeight="1">
      <c r="A15" s="376">
        <v>1.5</v>
      </c>
      <c r="B15" s="378"/>
      <c r="C15" s="332"/>
      <c r="D15" s="332"/>
      <c r="E15" s="332"/>
      <c r="F15" s="332"/>
      <c r="G15" s="332"/>
      <c r="H15" s="332"/>
      <c r="I15" s="332"/>
      <c r="J15" s="332"/>
      <c r="K15" s="332"/>
      <c r="L15" s="333"/>
      <c r="M15" s="378"/>
      <c r="N15" s="332"/>
      <c r="O15" s="332"/>
      <c r="P15" s="333"/>
      <c r="Q15" s="378"/>
      <c r="R15" s="332"/>
      <c r="S15" s="332"/>
      <c r="T15" s="333"/>
      <c r="U15" s="378"/>
      <c r="V15" s="332"/>
      <c r="W15" s="332"/>
      <c r="X15" s="334"/>
    </row>
    <row r="16" ht="15.75" customHeight="1">
      <c r="A16" s="379"/>
      <c r="B16" s="380" t="s">
        <v>665</v>
      </c>
      <c r="C16" s="332"/>
      <c r="D16" s="332"/>
      <c r="E16" s="332"/>
      <c r="F16" s="332"/>
      <c r="G16" s="332"/>
      <c r="H16" s="332"/>
      <c r="I16" s="332"/>
      <c r="J16" s="332"/>
      <c r="K16" s="332"/>
      <c r="L16" s="332"/>
      <c r="M16" s="332"/>
      <c r="N16" s="332"/>
      <c r="O16" s="332"/>
      <c r="P16" s="332"/>
      <c r="Q16" s="332"/>
      <c r="R16" s="332"/>
      <c r="S16" s="332"/>
      <c r="T16" s="333"/>
      <c r="U16" s="378"/>
      <c r="V16" s="332"/>
      <c r="W16" s="332"/>
      <c r="X16" s="334"/>
    </row>
    <row r="17" ht="15.75" customHeight="1">
      <c r="A17" s="49" t="s">
        <v>666</v>
      </c>
      <c r="B17" s="50"/>
      <c r="C17" s="50"/>
      <c r="D17" s="50"/>
      <c r="E17" s="50"/>
      <c r="F17" s="50"/>
      <c r="G17" s="50"/>
      <c r="H17" s="50"/>
      <c r="I17" s="50"/>
      <c r="J17" s="50"/>
      <c r="K17" s="50"/>
      <c r="L17" s="50"/>
      <c r="M17" s="50"/>
      <c r="N17" s="50"/>
      <c r="O17" s="50"/>
      <c r="P17" s="50"/>
      <c r="Q17" s="50"/>
      <c r="R17" s="50"/>
      <c r="S17" s="50"/>
      <c r="T17" s="50"/>
      <c r="U17" s="50"/>
      <c r="V17" s="50"/>
      <c r="W17" s="50"/>
      <c r="X17" s="51"/>
    </row>
    <row r="18" ht="15.75" customHeight="1">
      <c r="A18" s="373" t="s">
        <v>112</v>
      </c>
      <c r="B18" s="235" t="s">
        <v>406</v>
      </c>
      <c r="C18" s="50"/>
      <c r="D18" s="50"/>
      <c r="E18" s="50"/>
      <c r="F18" s="50"/>
      <c r="G18" s="50"/>
      <c r="H18" s="50"/>
      <c r="I18" s="50"/>
      <c r="J18" s="50"/>
      <c r="K18" s="50"/>
      <c r="L18" s="51"/>
      <c r="M18" s="235" t="s">
        <v>667</v>
      </c>
      <c r="N18" s="50"/>
      <c r="O18" s="50"/>
      <c r="P18" s="51"/>
      <c r="Q18" s="235" t="s">
        <v>668</v>
      </c>
      <c r="R18" s="50"/>
      <c r="S18" s="50"/>
      <c r="T18" s="51"/>
      <c r="U18" s="235" t="s">
        <v>669</v>
      </c>
      <c r="V18" s="50"/>
      <c r="W18" s="50"/>
      <c r="X18" s="51"/>
    </row>
    <row r="19" ht="15.75" customHeight="1">
      <c r="A19" s="381">
        <v>2.1</v>
      </c>
      <c r="B19" s="382" t="s">
        <v>670</v>
      </c>
      <c r="C19" s="365"/>
      <c r="D19" s="365"/>
      <c r="E19" s="365"/>
      <c r="F19" s="365"/>
      <c r="G19" s="365"/>
      <c r="H19" s="365"/>
      <c r="I19" s="365"/>
      <c r="J19" s="365"/>
      <c r="K19" s="365"/>
      <c r="L19" s="366"/>
      <c r="M19" s="382" t="s">
        <v>574</v>
      </c>
      <c r="N19" s="365"/>
      <c r="O19" s="365"/>
      <c r="P19" s="366"/>
      <c r="Q19" s="382" t="s">
        <v>574</v>
      </c>
      <c r="R19" s="365"/>
      <c r="S19" s="365"/>
      <c r="T19" s="366"/>
      <c r="U19" s="382" t="s">
        <v>574</v>
      </c>
      <c r="V19" s="365"/>
      <c r="W19" s="365"/>
      <c r="X19" s="383"/>
    </row>
    <row r="20" ht="15.75" customHeight="1">
      <c r="A20" s="381">
        <v>2.2</v>
      </c>
      <c r="B20" s="377" t="s">
        <v>671</v>
      </c>
      <c r="C20" s="322"/>
      <c r="D20" s="322"/>
      <c r="E20" s="322"/>
      <c r="F20" s="322"/>
      <c r="G20" s="322"/>
      <c r="H20" s="322"/>
      <c r="I20" s="322"/>
      <c r="J20" s="322"/>
      <c r="K20" s="322"/>
      <c r="L20" s="323"/>
      <c r="M20" s="377" t="s">
        <v>574</v>
      </c>
      <c r="N20" s="322"/>
      <c r="O20" s="322"/>
      <c r="P20" s="323"/>
      <c r="Q20" s="377" t="s">
        <v>574</v>
      </c>
      <c r="R20" s="322"/>
      <c r="S20" s="322"/>
      <c r="T20" s="323"/>
      <c r="U20" s="377" t="s">
        <v>574</v>
      </c>
      <c r="V20" s="322"/>
      <c r="W20" s="322"/>
      <c r="X20" s="324"/>
    </row>
    <row r="21" ht="15.75" customHeight="1">
      <c r="A21" s="381"/>
      <c r="B21" s="384"/>
      <c r="C21" s="322"/>
      <c r="D21" s="322"/>
      <c r="E21" s="322"/>
      <c r="F21" s="322"/>
      <c r="G21" s="322"/>
      <c r="H21" s="322"/>
      <c r="I21" s="322"/>
      <c r="J21" s="322"/>
      <c r="K21" s="322"/>
      <c r="L21" s="323"/>
      <c r="M21" s="377"/>
      <c r="N21" s="322"/>
      <c r="O21" s="322"/>
      <c r="P21" s="323"/>
      <c r="Q21" s="377"/>
      <c r="R21" s="322"/>
      <c r="S21" s="322"/>
      <c r="T21" s="323"/>
      <c r="U21" s="377"/>
      <c r="V21" s="322"/>
      <c r="W21" s="322"/>
      <c r="X21" s="324"/>
    </row>
    <row r="22" ht="15.75" customHeight="1">
      <c r="A22" s="381"/>
      <c r="B22" s="385"/>
      <c r="C22" s="332"/>
      <c r="D22" s="332"/>
      <c r="E22" s="332"/>
      <c r="F22" s="332"/>
      <c r="G22" s="332"/>
      <c r="H22" s="332"/>
      <c r="I22" s="332"/>
      <c r="J22" s="332"/>
      <c r="K22" s="332"/>
      <c r="L22" s="333"/>
      <c r="M22" s="378"/>
      <c r="N22" s="332"/>
      <c r="O22" s="332"/>
      <c r="P22" s="333"/>
      <c r="Q22" s="378"/>
      <c r="R22" s="332"/>
      <c r="S22" s="332"/>
      <c r="T22" s="333"/>
      <c r="U22" s="378"/>
      <c r="V22" s="332"/>
      <c r="W22" s="332"/>
      <c r="X22" s="334"/>
    </row>
    <row r="23" ht="15.75" customHeight="1">
      <c r="A23" s="381"/>
      <c r="B23" s="385"/>
      <c r="C23" s="332"/>
      <c r="D23" s="332"/>
      <c r="E23" s="332"/>
      <c r="F23" s="332"/>
      <c r="G23" s="332"/>
      <c r="H23" s="332"/>
      <c r="I23" s="332"/>
      <c r="J23" s="332"/>
      <c r="K23" s="332"/>
      <c r="L23" s="333"/>
      <c r="M23" s="378"/>
      <c r="N23" s="332"/>
      <c r="O23" s="332"/>
      <c r="P23" s="333"/>
      <c r="Q23" s="378"/>
      <c r="R23" s="332"/>
      <c r="S23" s="332"/>
      <c r="T23" s="333"/>
      <c r="U23" s="378"/>
      <c r="V23" s="332"/>
      <c r="W23" s="332"/>
      <c r="X23" s="334"/>
    </row>
    <row r="24" ht="15.75" customHeight="1">
      <c r="A24" s="381"/>
      <c r="B24" s="385"/>
      <c r="C24" s="332"/>
      <c r="D24" s="332"/>
      <c r="E24" s="332"/>
      <c r="F24" s="332"/>
      <c r="G24" s="332"/>
      <c r="H24" s="332"/>
      <c r="I24" s="332"/>
      <c r="J24" s="332"/>
      <c r="K24" s="332"/>
      <c r="L24" s="333"/>
      <c r="M24" s="378"/>
      <c r="N24" s="332"/>
      <c r="O24" s="332"/>
      <c r="P24" s="333"/>
      <c r="Q24" s="378"/>
      <c r="R24" s="332"/>
      <c r="S24" s="332"/>
      <c r="T24" s="333"/>
      <c r="U24" s="378"/>
      <c r="V24" s="332"/>
      <c r="W24" s="332"/>
      <c r="X24" s="334"/>
    </row>
    <row r="25" ht="15.75" customHeight="1">
      <c r="A25" s="376"/>
      <c r="B25" s="385"/>
      <c r="C25" s="332"/>
      <c r="D25" s="332"/>
      <c r="E25" s="332"/>
      <c r="F25" s="332"/>
      <c r="G25" s="332"/>
      <c r="H25" s="332"/>
      <c r="I25" s="332"/>
      <c r="J25" s="332"/>
      <c r="K25" s="332"/>
      <c r="L25" s="333"/>
      <c r="M25" s="378"/>
      <c r="N25" s="332"/>
      <c r="O25" s="332"/>
      <c r="P25" s="333"/>
      <c r="Q25" s="378"/>
      <c r="R25" s="332"/>
      <c r="S25" s="332"/>
      <c r="T25" s="333"/>
      <c r="U25" s="378"/>
      <c r="V25" s="332"/>
      <c r="W25" s="332"/>
      <c r="X25" s="334"/>
    </row>
    <row r="26" ht="15.75" customHeight="1">
      <c r="A26" s="386" t="s">
        <v>672</v>
      </c>
      <c r="B26" s="332"/>
      <c r="C26" s="332"/>
      <c r="D26" s="332"/>
      <c r="E26" s="332"/>
      <c r="F26" s="332"/>
      <c r="G26" s="332"/>
      <c r="H26" s="332"/>
      <c r="I26" s="332"/>
      <c r="J26" s="332"/>
      <c r="K26" s="332"/>
      <c r="L26" s="332"/>
      <c r="M26" s="332"/>
      <c r="N26" s="332"/>
      <c r="O26" s="332"/>
      <c r="P26" s="332"/>
      <c r="Q26" s="332"/>
      <c r="R26" s="332"/>
      <c r="S26" s="332"/>
      <c r="T26" s="333"/>
      <c r="U26" s="378"/>
      <c r="V26" s="332"/>
      <c r="W26" s="332"/>
      <c r="X26" s="334"/>
    </row>
    <row r="27" ht="15.75" customHeight="1">
      <c r="A27" s="387" t="s">
        <v>673</v>
      </c>
      <c r="B27" s="50"/>
      <c r="C27" s="50"/>
      <c r="D27" s="50"/>
      <c r="E27" s="50"/>
      <c r="F27" s="50"/>
      <c r="G27" s="50"/>
      <c r="H27" s="50"/>
      <c r="I27" s="50"/>
      <c r="J27" s="50"/>
      <c r="K27" s="50"/>
      <c r="L27" s="50"/>
      <c r="M27" s="50"/>
      <c r="N27" s="50"/>
      <c r="O27" s="50"/>
      <c r="P27" s="50"/>
      <c r="Q27" s="50"/>
      <c r="R27" s="50"/>
      <c r="S27" s="50"/>
      <c r="T27" s="50"/>
      <c r="U27" s="50"/>
      <c r="V27" s="50"/>
      <c r="W27" s="50"/>
      <c r="X27" s="51"/>
    </row>
    <row r="28" ht="15.75" customHeight="1">
      <c r="A28" s="388" t="s">
        <v>112</v>
      </c>
      <c r="B28" s="389" t="s">
        <v>674</v>
      </c>
      <c r="C28" s="50"/>
      <c r="D28" s="50"/>
      <c r="E28" s="50"/>
      <c r="F28" s="50"/>
      <c r="G28" s="50"/>
      <c r="H28" s="50"/>
      <c r="I28" s="50"/>
      <c r="J28" s="50"/>
      <c r="K28" s="50"/>
      <c r="L28" s="51"/>
      <c r="M28" s="389" t="s">
        <v>675</v>
      </c>
      <c r="N28" s="50"/>
      <c r="O28" s="50"/>
      <c r="P28" s="51"/>
      <c r="Q28" s="389" t="s">
        <v>676</v>
      </c>
      <c r="R28" s="50"/>
      <c r="S28" s="50"/>
      <c r="T28" s="51"/>
      <c r="U28" s="389" t="s">
        <v>677</v>
      </c>
      <c r="V28" s="50"/>
      <c r="W28" s="50"/>
      <c r="X28" s="51"/>
    </row>
    <row r="29" ht="15.75" customHeight="1">
      <c r="A29" s="390">
        <v>3.1</v>
      </c>
      <c r="B29" s="391" t="s">
        <v>678</v>
      </c>
      <c r="C29" s="365"/>
      <c r="D29" s="365"/>
      <c r="E29" s="365"/>
      <c r="F29" s="365"/>
      <c r="G29" s="365"/>
      <c r="H29" s="365"/>
      <c r="I29" s="365"/>
      <c r="J29" s="365"/>
      <c r="K29" s="365"/>
      <c r="L29" s="366"/>
      <c r="M29" s="391" t="s">
        <v>679</v>
      </c>
      <c r="N29" s="365"/>
      <c r="O29" s="365"/>
      <c r="P29" s="366"/>
      <c r="Q29" s="391" t="s">
        <v>574</v>
      </c>
      <c r="R29" s="365"/>
      <c r="S29" s="365"/>
      <c r="T29" s="366"/>
      <c r="U29" s="391" t="s">
        <v>680</v>
      </c>
      <c r="V29" s="365"/>
      <c r="W29" s="365"/>
      <c r="X29" s="383"/>
    </row>
    <row r="30" ht="15.75" customHeight="1">
      <c r="A30" s="390">
        <v>3.2</v>
      </c>
      <c r="B30" s="392" t="s">
        <v>681</v>
      </c>
      <c r="C30" s="322"/>
      <c r="D30" s="322"/>
      <c r="E30" s="322"/>
      <c r="F30" s="322"/>
      <c r="G30" s="322"/>
      <c r="H30" s="322"/>
      <c r="I30" s="322"/>
      <c r="J30" s="322"/>
      <c r="K30" s="322"/>
      <c r="L30" s="323"/>
      <c r="M30" s="392" t="s">
        <v>682</v>
      </c>
      <c r="N30" s="322"/>
      <c r="O30" s="322"/>
      <c r="P30" s="323"/>
      <c r="Q30" s="392" t="s">
        <v>574</v>
      </c>
      <c r="R30" s="322"/>
      <c r="S30" s="322"/>
      <c r="T30" s="323"/>
      <c r="U30" s="392" t="s">
        <v>683</v>
      </c>
      <c r="V30" s="322"/>
      <c r="W30" s="322"/>
      <c r="X30" s="324"/>
    </row>
    <row r="31" ht="15.75" customHeight="1">
      <c r="A31" s="393">
        <v>3.3</v>
      </c>
      <c r="B31" s="394" t="s">
        <v>684</v>
      </c>
      <c r="C31" s="322"/>
      <c r="D31" s="322"/>
      <c r="E31" s="322"/>
      <c r="F31" s="322"/>
      <c r="G31" s="322"/>
      <c r="H31" s="322"/>
      <c r="I31" s="322"/>
      <c r="J31" s="322"/>
      <c r="K31" s="322"/>
      <c r="L31" s="323"/>
      <c r="M31" s="394" t="s">
        <v>679</v>
      </c>
      <c r="N31" s="322"/>
      <c r="O31" s="322"/>
      <c r="P31" s="323"/>
      <c r="Q31" s="394" t="s">
        <v>574</v>
      </c>
      <c r="R31" s="322"/>
      <c r="S31" s="322"/>
      <c r="T31" s="323"/>
      <c r="U31" s="394" t="s">
        <v>685</v>
      </c>
      <c r="V31" s="322"/>
      <c r="W31" s="322"/>
      <c r="X31" s="324"/>
    </row>
    <row r="32" ht="15.75" customHeight="1">
      <c r="A32" s="393"/>
      <c r="B32" s="395"/>
      <c r="C32" s="332"/>
      <c r="D32" s="332"/>
      <c r="E32" s="332"/>
      <c r="F32" s="332"/>
      <c r="G32" s="332"/>
      <c r="H32" s="332"/>
      <c r="I32" s="332"/>
      <c r="J32" s="332"/>
      <c r="K32" s="332"/>
      <c r="L32" s="333"/>
      <c r="M32" s="395"/>
      <c r="N32" s="332"/>
      <c r="O32" s="332"/>
      <c r="P32" s="333"/>
      <c r="Q32" s="395"/>
      <c r="R32" s="332"/>
      <c r="S32" s="332"/>
      <c r="T32" s="333"/>
      <c r="U32" s="395"/>
      <c r="V32" s="332"/>
      <c r="W32" s="332"/>
      <c r="X32" s="334"/>
    </row>
    <row r="33" ht="15.75" customHeight="1">
      <c r="A33" s="393"/>
      <c r="B33" s="395"/>
      <c r="C33" s="332"/>
      <c r="D33" s="332"/>
      <c r="E33" s="332"/>
      <c r="F33" s="332"/>
      <c r="G33" s="332"/>
      <c r="H33" s="332"/>
      <c r="I33" s="332"/>
      <c r="J33" s="332"/>
      <c r="K33" s="332"/>
      <c r="L33" s="333"/>
      <c r="M33" s="395"/>
      <c r="N33" s="332"/>
      <c r="O33" s="332"/>
      <c r="P33" s="333"/>
      <c r="Q33" s="395"/>
      <c r="R33" s="332"/>
      <c r="S33" s="332"/>
      <c r="T33" s="333"/>
      <c r="U33" s="395"/>
      <c r="V33" s="332"/>
      <c r="W33" s="332"/>
      <c r="X33" s="334"/>
    </row>
    <row r="34" ht="15.75" customHeight="1">
      <c r="A34" s="393"/>
      <c r="B34" s="395"/>
      <c r="C34" s="332"/>
      <c r="D34" s="332"/>
      <c r="E34" s="332"/>
      <c r="F34" s="332"/>
      <c r="G34" s="332"/>
      <c r="H34" s="332"/>
      <c r="I34" s="332"/>
      <c r="J34" s="332"/>
      <c r="K34" s="332"/>
      <c r="L34" s="333"/>
      <c r="M34" s="395"/>
      <c r="N34" s="332"/>
      <c r="O34" s="332"/>
      <c r="P34" s="333"/>
      <c r="Q34" s="395"/>
      <c r="R34" s="332"/>
      <c r="S34" s="332"/>
      <c r="T34" s="333"/>
      <c r="U34" s="395"/>
      <c r="V34" s="332"/>
      <c r="W34" s="332"/>
      <c r="X34" s="334"/>
    </row>
    <row r="35" ht="15.75" customHeight="1">
      <c r="A35" s="396" t="s">
        <v>686</v>
      </c>
      <c r="B35" s="332"/>
      <c r="C35" s="332"/>
      <c r="D35" s="332"/>
      <c r="E35" s="332"/>
      <c r="F35" s="332"/>
      <c r="G35" s="332"/>
      <c r="H35" s="332"/>
      <c r="I35" s="332"/>
      <c r="J35" s="332"/>
      <c r="K35" s="332"/>
      <c r="L35" s="332"/>
      <c r="M35" s="332"/>
      <c r="N35" s="332"/>
      <c r="O35" s="332"/>
      <c r="P35" s="332"/>
      <c r="Q35" s="332"/>
      <c r="R35" s="332"/>
      <c r="S35" s="332"/>
      <c r="T35" s="333"/>
      <c r="U35" s="395"/>
      <c r="V35" s="332"/>
      <c r="W35" s="332"/>
      <c r="X35" s="334"/>
    </row>
    <row r="36" ht="15.75" customHeight="1">
      <c r="A36" s="397" t="s">
        <v>687</v>
      </c>
      <c r="B36" s="50"/>
      <c r="C36" s="50"/>
      <c r="D36" s="50"/>
      <c r="E36" s="50"/>
      <c r="F36" s="50"/>
      <c r="G36" s="50"/>
      <c r="H36" s="50"/>
      <c r="I36" s="50"/>
      <c r="J36" s="50"/>
      <c r="K36" s="50"/>
      <c r="L36" s="50"/>
      <c r="M36" s="50"/>
      <c r="N36" s="50"/>
      <c r="O36" s="50"/>
      <c r="P36" s="50"/>
      <c r="Q36" s="50"/>
      <c r="R36" s="50"/>
      <c r="S36" s="50"/>
      <c r="T36" s="50"/>
      <c r="U36" s="50"/>
      <c r="V36" s="50"/>
      <c r="W36" s="50"/>
      <c r="X36" s="51"/>
    </row>
    <row r="37" ht="15.75" customHeight="1">
      <c r="A37" s="398" t="s">
        <v>112</v>
      </c>
      <c r="B37" s="399" t="s">
        <v>688</v>
      </c>
      <c r="C37" s="50"/>
      <c r="D37" s="50"/>
      <c r="E37" s="50"/>
      <c r="F37" s="50"/>
      <c r="G37" s="50"/>
      <c r="H37" s="50"/>
      <c r="I37" s="50"/>
      <c r="J37" s="50"/>
      <c r="K37" s="50"/>
      <c r="L37" s="51"/>
      <c r="M37" s="399" t="s">
        <v>689</v>
      </c>
      <c r="N37" s="50"/>
      <c r="O37" s="50"/>
      <c r="P37" s="51"/>
      <c r="Q37" s="399" t="s">
        <v>690</v>
      </c>
      <c r="R37" s="50"/>
      <c r="S37" s="50"/>
      <c r="T37" s="50"/>
      <c r="U37" s="50"/>
      <c r="V37" s="50"/>
      <c r="W37" s="50"/>
      <c r="X37" s="51"/>
    </row>
    <row r="38" ht="15.75" customHeight="1">
      <c r="A38" s="400">
        <v>4.1</v>
      </c>
      <c r="B38" s="401" t="s">
        <v>691</v>
      </c>
      <c r="C38" s="9"/>
      <c r="D38" s="9"/>
      <c r="E38" s="9"/>
      <c r="F38" s="9"/>
      <c r="G38" s="9"/>
      <c r="H38" s="9"/>
      <c r="I38" s="9"/>
      <c r="J38" s="9"/>
      <c r="K38" s="9"/>
      <c r="L38" s="402"/>
      <c r="M38" s="401" t="s">
        <v>692</v>
      </c>
      <c r="N38" s="9"/>
      <c r="O38" s="9"/>
      <c r="P38" s="402"/>
      <c r="Q38" s="401" t="s">
        <v>693</v>
      </c>
      <c r="R38" s="9"/>
      <c r="S38" s="9"/>
      <c r="T38" s="9"/>
      <c r="U38" s="9"/>
      <c r="V38" s="9"/>
      <c r="W38" s="9"/>
      <c r="X38" s="10"/>
    </row>
    <row r="39" ht="15.75" customHeight="1">
      <c r="A39" s="403">
        <v>4.2</v>
      </c>
      <c r="B39" s="395" t="s">
        <v>694</v>
      </c>
      <c r="C39" s="332"/>
      <c r="D39" s="332"/>
      <c r="E39" s="332"/>
      <c r="F39" s="332"/>
      <c r="G39" s="332"/>
      <c r="H39" s="332"/>
      <c r="I39" s="332"/>
      <c r="J39" s="332"/>
      <c r="K39" s="332"/>
      <c r="L39" s="333"/>
      <c r="M39" s="395" t="s">
        <v>695</v>
      </c>
      <c r="N39" s="332"/>
      <c r="O39" s="332"/>
      <c r="P39" s="333"/>
      <c r="Q39" s="395"/>
      <c r="R39" s="332"/>
      <c r="S39" s="332"/>
      <c r="T39" s="332"/>
      <c r="U39" s="332"/>
      <c r="V39" s="332"/>
      <c r="W39" s="332"/>
      <c r="X39" s="334"/>
    </row>
    <row r="40" ht="15.75" customHeight="1">
      <c r="A40" s="403">
        <v>4.3</v>
      </c>
      <c r="B40" s="395" t="s">
        <v>696</v>
      </c>
      <c r="C40" s="332"/>
      <c r="D40" s="332"/>
      <c r="E40" s="332"/>
      <c r="F40" s="332"/>
      <c r="G40" s="332"/>
      <c r="H40" s="332"/>
      <c r="I40" s="332"/>
      <c r="J40" s="332"/>
      <c r="K40" s="332"/>
      <c r="L40" s="333"/>
      <c r="M40" s="395" t="s">
        <v>697</v>
      </c>
      <c r="N40" s="332"/>
      <c r="O40" s="332"/>
      <c r="P40" s="333"/>
      <c r="Q40" s="395"/>
      <c r="R40" s="332"/>
      <c r="S40" s="332"/>
      <c r="T40" s="332"/>
      <c r="U40" s="332"/>
      <c r="V40" s="332"/>
      <c r="W40" s="332"/>
      <c r="X40" s="334"/>
    </row>
    <row r="41" ht="15.75" customHeight="1">
      <c r="A41" s="403"/>
      <c r="B41" s="395"/>
      <c r="C41" s="332"/>
      <c r="D41" s="332"/>
      <c r="E41" s="332"/>
      <c r="F41" s="332"/>
      <c r="G41" s="332"/>
      <c r="H41" s="332"/>
      <c r="I41" s="332"/>
      <c r="J41" s="332"/>
      <c r="K41" s="332"/>
      <c r="L41" s="333"/>
      <c r="M41" s="395"/>
      <c r="N41" s="332"/>
      <c r="O41" s="332"/>
      <c r="P41" s="333"/>
      <c r="Q41" s="395"/>
      <c r="R41" s="332"/>
      <c r="S41" s="332"/>
      <c r="T41" s="332"/>
      <c r="U41" s="332"/>
      <c r="V41" s="332"/>
      <c r="W41" s="332"/>
      <c r="X41" s="334"/>
    </row>
    <row r="42" ht="15.75" customHeight="1">
      <c r="A42" s="403"/>
      <c r="B42" s="395"/>
      <c r="C42" s="332"/>
      <c r="D42" s="332"/>
      <c r="E42" s="332"/>
      <c r="F42" s="332"/>
      <c r="G42" s="332"/>
      <c r="H42" s="332"/>
      <c r="I42" s="332"/>
      <c r="J42" s="332"/>
      <c r="K42" s="332"/>
      <c r="L42" s="333"/>
      <c r="M42" s="395"/>
      <c r="N42" s="332"/>
      <c r="O42" s="332"/>
      <c r="P42" s="333"/>
      <c r="Q42" s="395"/>
      <c r="R42" s="332"/>
      <c r="S42" s="332"/>
      <c r="T42" s="332"/>
      <c r="U42" s="332"/>
      <c r="V42" s="332"/>
      <c r="W42" s="332"/>
      <c r="X42" s="334"/>
    </row>
    <row r="43" ht="15.75" customHeight="1">
      <c r="A43" s="404"/>
      <c r="B43" s="405"/>
      <c r="C43" s="327"/>
      <c r="D43" s="327"/>
      <c r="E43" s="327"/>
      <c r="F43" s="327"/>
      <c r="G43" s="327"/>
      <c r="H43" s="327"/>
      <c r="I43" s="327"/>
      <c r="J43" s="327"/>
      <c r="K43" s="327"/>
      <c r="L43" s="328"/>
      <c r="M43" s="405"/>
      <c r="N43" s="327"/>
      <c r="O43" s="327"/>
      <c r="P43" s="328"/>
      <c r="Q43" s="405"/>
      <c r="R43" s="327"/>
      <c r="S43" s="327"/>
      <c r="T43" s="327"/>
      <c r="U43" s="327"/>
      <c r="V43" s="327"/>
      <c r="W43" s="327"/>
      <c r="X43" s="329"/>
    </row>
    <row r="44" ht="15.75" customHeight="1">
      <c r="A44" s="126" t="s">
        <v>698</v>
      </c>
      <c r="B44" s="9"/>
      <c r="C44" s="9"/>
      <c r="D44" s="9"/>
      <c r="E44" s="9"/>
      <c r="F44" s="9"/>
      <c r="G44" s="9"/>
      <c r="H44" s="9"/>
      <c r="I44" s="9"/>
      <c r="J44" s="9"/>
      <c r="K44" s="9"/>
      <c r="L44" s="9"/>
      <c r="M44" s="9"/>
      <c r="N44" s="9"/>
      <c r="O44" s="9"/>
      <c r="P44" s="9"/>
      <c r="Q44" s="9"/>
      <c r="R44" s="9"/>
      <c r="S44" s="9"/>
      <c r="T44" s="9"/>
      <c r="U44" s="9"/>
      <c r="V44" s="9"/>
      <c r="W44" s="9"/>
      <c r="X44" s="10"/>
    </row>
    <row r="45" ht="15.75" customHeight="1">
      <c r="A45" s="406" t="s">
        <v>699</v>
      </c>
      <c r="B45" s="119"/>
      <c r="C45" s="119"/>
      <c r="D45" s="119"/>
      <c r="E45" s="119"/>
      <c r="F45" s="119"/>
      <c r="G45" s="184"/>
      <c r="H45" s="407"/>
      <c r="I45" s="119"/>
      <c r="J45" s="119"/>
      <c r="K45" s="119"/>
      <c r="L45" s="119"/>
      <c r="M45" s="119"/>
      <c r="N45" s="184"/>
      <c r="O45" s="408" t="s">
        <v>700</v>
      </c>
      <c r="P45" s="119"/>
      <c r="Q45" s="119"/>
      <c r="R45" s="119"/>
      <c r="S45" s="119"/>
      <c r="T45" s="184"/>
      <c r="U45" s="407"/>
      <c r="V45" s="119"/>
      <c r="W45" s="119"/>
      <c r="X45" s="185"/>
    </row>
    <row r="46" ht="15.75" customHeight="1">
      <c r="A46" s="409" t="s">
        <v>450</v>
      </c>
      <c r="B46" s="311"/>
      <c r="C46" s="311"/>
      <c r="D46" s="311"/>
      <c r="E46" s="311"/>
      <c r="F46" s="311"/>
      <c r="G46" s="410"/>
      <c r="H46" s="411"/>
      <c r="I46" s="311"/>
      <c r="J46" s="311"/>
      <c r="K46" s="311"/>
      <c r="L46" s="311"/>
      <c r="M46" s="311"/>
      <c r="N46" s="410"/>
      <c r="O46" s="411" t="s">
        <v>701</v>
      </c>
      <c r="P46" s="311"/>
      <c r="Q46" s="311"/>
      <c r="R46" s="311"/>
      <c r="S46" s="311"/>
      <c r="T46" s="410"/>
      <c r="U46" s="411"/>
      <c r="V46" s="311"/>
      <c r="W46" s="311"/>
      <c r="X46" s="31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3">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B10:L10"/>
    <mergeCell ref="M10:P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Q14:T14"/>
    <mergeCell ref="U14:X14"/>
    <mergeCell ref="B22:L22"/>
    <mergeCell ref="M22:P22"/>
    <mergeCell ref="Q22:T22"/>
    <mergeCell ref="U22:X22"/>
    <mergeCell ref="M23:P23"/>
    <mergeCell ref="Q23:T23"/>
    <mergeCell ref="U23:X23"/>
    <mergeCell ref="B23:L23"/>
    <mergeCell ref="B24:L24"/>
    <mergeCell ref="M24:P24"/>
    <mergeCell ref="Q24:T24"/>
    <mergeCell ref="U24:X24"/>
    <mergeCell ref="B25:L25"/>
    <mergeCell ref="M25:P25"/>
    <mergeCell ref="Q28:T28"/>
    <mergeCell ref="U28:X28"/>
    <mergeCell ref="Q25:T25"/>
    <mergeCell ref="U25:X25"/>
    <mergeCell ref="A26:T26"/>
    <mergeCell ref="U26:X26"/>
    <mergeCell ref="A27:X27"/>
    <mergeCell ref="B28:L28"/>
    <mergeCell ref="M28:P28"/>
    <mergeCell ref="B11:L11"/>
    <mergeCell ref="M11:P11"/>
    <mergeCell ref="Q11:T11"/>
    <mergeCell ref="U11:X11"/>
    <mergeCell ref="M12:P12"/>
    <mergeCell ref="Q12:T12"/>
    <mergeCell ref="U12:X12"/>
    <mergeCell ref="B12:L12"/>
    <mergeCell ref="B13:L13"/>
    <mergeCell ref="M13:P13"/>
    <mergeCell ref="Q13:T13"/>
    <mergeCell ref="U13:X13"/>
    <mergeCell ref="B14:L14"/>
    <mergeCell ref="M14:P14"/>
    <mergeCell ref="B15:L15"/>
    <mergeCell ref="M15:P15"/>
    <mergeCell ref="Q15:T15"/>
    <mergeCell ref="U15:X15"/>
    <mergeCell ref="B16:T16"/>
    <mergeCell ref="U16:X16"/>
    <mergeCell ref="A17:X17"/>
    <mergeCell ref="B18:L18"/>
    <mergeCell ref="M18:P18"/>
    <mergeCell ref="Q18:T18"/>
    <mergeCell ref="U18:X18"/>
    <mergeCell ref="M19:P19"/>
    <mergeCell ref="Q19:T19"/>
    <mergeCell ref="U19:X19"/>
    <mergeCell ref="Q21:T21"/>
    <mergeCell ref="U21:X21"/>
    <mergeCell ref="B19:L19"/>
    <mergeCell ref="B20:L20"/>
    <mergeCell ref="M20:P20"/>
    <mergeCell ref="Q20:T20"/>
    <mergeCell ref="U20:X20"/>
    <mergeCell ref="B21:L21"/>
    <mergeCell ref="M21:P21"/>
    <mergeCell ref="Q32:T32"/>
    <mergeCell ref="U32:X32"/>
    <mergeCell ref="M43:P43"/>
    <mergeCell ref="Q43:X43"/>
    <mergeCell ref="B41:L41"/>
    <mergeCell ref="M41:P41"/>
    <mergeCell ref="Q41:X41"/>
    <mergeCell ref="B42:L42"/>
    <mergeCell ref="M42:P42"/>
    <mergeCell ref="Q42:X42"/>
    <mergeCell ref="B43:L43"/>
    <mergeCell ref="B29:L29"/>
    <mergeCell ref="M29:P29"/>
    <mergeCell ref="Q29:T29"/>
    <mergeCell ref="U29:X29"/>
    <mergeCell ref="M30:P30"/>
    <mergeCell ref="Q30:T30"/>
    <mergeCell ref="U30:X30"/>
    <mergeCell ref="B30:L30"/>
    <mergeCell ref="B31:L31"/>
    <mergeCell ref="M31:P31"/>
    <mergeCell ref="Q31:T31"/>
    <mergeCell ref="U31:X31"/>
    <mergeCell ref="B32:L32"/>
    <mergeCell ref="M32:P32"/>
    <mergeCell ref="B33:L33"/>
    <mergeCell ref="M33:P33"/>
    <mergeCell ref="Q33:T33"/>
    <mergeCell ref="U33:X33"/>
    <mergeCell ref="M34:P34"/>
    <mergeCell ref="Q34:T34"/>
    <mergeCell ref="U34:X34"/>
    <mergeCell ref="B34:L34"/>
    <mergeCell ref="A35:T35"/>
    <mergeCell ref="U35:X35"/>
    <mergeCell ref="A36:X36"/>
    <mergeCell ref="B37:L37"/>
    <mergeCell ref="M37:P37"/>
    <mergeCell ref="Q37:X37"/>
    <mergeCell ref="M40:P40"/>
    <mergeCell ref="Q40:X40"/>
    <mergeCell ref="B38:L38"/>
    <mergeCell ref="M38:P38"/>
    <mergeCell ref="Q38:X38"/>
    <mergeCell ref="B39:L39"/>
    <mergeCell ref="M39:P39"/>
    <mergeCell ref="Q39:X39"/>
    <mergeCell ref="B40:L40"/>
    <mergeCell ref="O46:T46"/>
    <mergeCell ref="U46:X46"/>
    <mergeCell ref="A44:X44"/>
    <mergeCell ref="A45:G45"/>
    <mergeCell ref="H45:N45"/>
    <mergeCell ref="O45:T45"/>
    <mergeCell ref="U45:X45"/>
    <mergeCell ref="A46:G46"/>
    <mergeCell ref="H46:N46"/>
  </mergeCells>
  <hyperlinks>
    <hyperlink r:id="rId1" ref="S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4" width="6.0"/>
  </cols>
  <sheetData>
    <row r="1" ht="25.5" customHeight="1">
      <c r="A1" s="206" t="s">
        <v>0</v>
      </c>
      <c r="B1" s="207"/>
      <c r="C1" s="412" t="s">
        <v>133</v>
      </c>
      <c r="D1" s="207"/>
      <c r="E1" s="209" t="s">
        <v>1</v>
      </c>
      <c r="F1" s="207"/>
      <c r="G1" s="413" t="s">
        <v>88</v>
      </c>
      <c r="H1" s="207"/>
      <c r="I1" s="209" t="s">
        <v>2</v>
      </c>
      <c r="J1" s="207"/>
      <c r="K1" s="414">
        <v>46117.0</v>
      </c>
      <c r="L1" s="207"/>
      <c r="M1" s="211" t="s">
        <v>3</v>
      </c>
      <c r="N1" s="207"/>
      <c r="O1" s="212"/>
      <c r="P1" s="207"/>
      <c r="Q1" s="209" t="s">
        <v>4</v>
      </c>
      <c r="R1" s="207"/>
      <c r="S1" s="208" t="s">
        <v>105</v>
      </c>
      <c r="T1" s="207"/>
      <c r="U1" s="213"/>
      <c r="V1" s="214"/>
      <c r="W1" s="214"/>
      <c r="X1" s="215"/>
    </row>
    <row r="2" ht="15.75" customHeight="1">
      <c r="A2" s="216" t="s">
        <v>5</v>
      </c>
      <c r="B2" s="12"/>
      <c r="C2" s="415" t="s">
        <v>134</v>
      </c>
      <c r="D2" s="12"/>
      <c r="E2" s="14" t="s">
        <v>6</v>
      </c>
      <c r="F2" s="12"/>
      <c r="G2" s="13"/>
      <c r="H2" s="12"/>
      <c r="I2" s="14" t="s">
        <v>7</v>
      </c>
      <c r="J2" s="12"/>
      <c r="K2" s="15"/>
      <c r="L2" s="12"/>
      <c r="M2" s="16" t="s">
        <v>8</v>
      </c>
      <c r="N2" s="12"/>
      <c r="O2" s="13" t="s">
        <v>9</v>
      </c>
      <c r="P2" s="12"/>
      <c r="Q2" s="14" t="s">
        <v>10</v>
      </c>
      <c r="R2" s="12"/>
      <c r="S2" s="13" t="s">
        <v>611</v>
      </c>
      <c r="T2" s="12"/>
      <c r="U2" s="217"/>
      <c r="V2" s="218"/>
      <c r="W2" s="218"/>
      <c r="X2" s="219"/>
    </row>
    <row r="3" ht="15.75" customHeight="1">
      <c r="A3" s="216" t="s">
        <v>11</v>
      </c>
      <c r="B3" s="12"/>
      <c r="C3" s="13"/>
      <c r="D3" s="12"/>
      <c r="E3" s="14" t="s">
        <v>12</v>
      </c>
      <c r="F3" s="12"/>
      <c r="G3" s="13" t="s">
        <v>135</v>
      </c>
      <c r="H3" s="12"/>
      <c r="I3" s="14" t="s">
        <v>13</v>
      </c>
      <c r="J3" s="12"/>
      <c r="K3" s="20"/>
      <c r="L3" s="12"/>
      <c r="M3" s="16" t="s">
        <v>14</v>
      </c>
      <c r="N3" s="12"/>
      <c r="O3" s="13" t="s">
        <v>15</v>
      </c>
      <c r="P3" s="12"/>
      <c r="Q3" s="14" t="s">
        <v>16</v>
      </c>
      <c r="R3" s="12"/>
      <c r="S3" s="13" t="s">
        <v>702</v>
      </c>
      <c r="T3" s="12"/>
      <c r="U3" s="220" t="s">
        <v>17</v>
      </c>
      <c r="V3" s="18"/>
      <c r="W3" s="18"/>
      <c r="X3" s="221"/>
    </row>
    <row r="4" ht="15.75" customHeight="1">
      <c r="A4" s="216" t="s">
        <v>18</v>
      </c>
      <c r="B4" s="12"/>
      <c r="C4" s="13" t="s">
        <v>19</v>
      </c>
      <c r="D4" s="12"/>
      <c r="E4" s="14" t="s">
        <v>20</v>
      </c>
      <c r="F4" s="12"/>
      <c r="G4" s="13" t="s">
        <v>88</v>
      </c>
      <c r="H4" s="12"/>
      <c r="I4" s="14" t="s">
        <v>21</v>
      </c>
      <c r="J4" s="12"/>
      <c r="K4" s="24"/>
      <c r="L4" s="25"/>
      <c r="M4" s="26" t="s">
        <v>22</v>
      </c>
      <c r="N4" s="27"/>
      <c r="O4" s="28">
        <v>0.0</v>
      </c>
      <c r="P4" s="27"/>
      <c r="Q4" s="14" t="s">
        <v>23</v>
      </c>
      <c r="R4" s="12"/>
      <c r="S4" s="20"/>
      <c r="T4" s="12"/>
      <c r="U4" s="29" t="s">
        <v>24</v>
      </c>
      <c r="V4" s="22"/>
      <c r="W4" s="22"/>
      <c r="X4" s="222"/>
    </row>
    <row r="5" ht="15.75" customHeight="1">
      <c r="A5" s="223" t="s">
        <v>25</v>
      </c>
      <c r="B5" s="27"/>
      <c r="C5" s="31"/>
      <c r="D5" s="27"/>
      <c r="E5" s="14" t="s">
        <v>27</v>
      </c>
      <c r="F5" s="12"/>
      <c r="G5" s="13" t="s">
        <v>48</v>
      </c>
      <c r="H5" s="12"/>
      <c r="I5" s="14" t="s">
        <v>28</v>
      </c>
      <c r="J5" s="12"/>
      <c r="K5" s="32"/>
      <c r="L5" s="33"/>
      <c r="M5" s="34"/>
      <c r="N5" s="35"/>
      <c r="O5" s="34"/>
      <c r="P5" s="35"/>
      <c r="Q5" s="36" t="s">
        <v>29</v>
      </c>
      <c r="R5" s="27"/>
      <c r="S5" s="37"/>
      <c r="T5" s="27"/>
      <c r="U5" s="38" t="s">
        <v>30</v>
      </c>
      <c r="V5" s="22"/>
      <c r="W5" s="22"/>
      <c r="X5" s="222"/>
    </row>
    <row r="6" ht="15.75" customHeight="1">
      <c r="A6" s="224"/>
      <c r="B6" s="225"/>
      <c r="C6" s="226"/>
      <c r="D6" s="225"/>
      <c r="E6" s="227" t="s">
        <v>31</v>
      </c>
      <c r="F6" s="228"/>
      <c r="G6" s="229" t="s">
        <v>137</v>
      </c>
      <c r="H6" s="228"/>
      <c r="I6" s="227" t="s">
        <v>32</v>
      </c>
      <c r="J6" s="228"/>
      <c r="K6" s="230"/>
      <c r="L6" s="228"/>
      <c r="M6" s="226"/>
      <c r="N6" s="225"/>
      <c r="O6" s="226"/>
      <c r="P6" s="225"/>
      <c r="Q6" s="226"/>
      <c r="R6" s="225"/>
      <c r="S6" s="226"/>
      <c r="T6" s="225"/>
      <c r="U6" s="231" t="s">
        <v>33</v>
      </c>
      <c r="V6" s="232"/>
      <c r="W6" s="232"/>
      <c r="X6" s="233"/>
    </row>
    <row r="7" ht="15.75" customHeight="1">
      <c r="A7" s="416" t="s">
        <v>703</v>
      </c>
      <c r="B7" s="81"/>
      <c r="C7" s="81"/>
      <c r="D7" s="81"/>
      <c r="E7" s="81"/>
      <c r="F7" s="81"/>
      <c r="G7" s="81"/>
      <c r="H7" s="81"/>
      <c r="I7" s="81"/>
      <c r="J7" s="81"/>
      <c r="K7" s="81"/>
      <c r="L7" s="81"/>
      <c r="M7" s="81"/>
      <c r="N7" s="81"/>
      <c r="O7" s="81"/>
      <c r="P7" s="81"/>
      <c r="Q7" s="81"/>
      <c r="R7" s="81"/>
      <c r="S7" s="81"/>
      <c r="T7" s="81"/>
      <c r="U7" s="81"/>
      <c r="V7" s="81"/>
      <c r="W7" s="81"/>
      <c r="X7" s="82"/>
    </row>
    <row r="8" ht="15.75" customHeight="1">
      <c r="A8" s="128" t="s">
        <v>704</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705</v>
      </c>
      <c r="B9" s="50"/>
      <c r="C9" s="50"/>
      <c r="D9" s="50"/>
      <c r="E9" s="50"/>
      <c r="F9" s="50"/>
      <c r="G9" s="50"/>
      <c r="H9" s="50"/>
      <c r="I9" s="50"/>
      <c r="J9" s="50"/>
      <c r="K9" s="50"/>
      <c r="L9" s="50"/>
      <c r="M9" s="50"/>
      <c r="N9" s="50"/>
      <c r="O9" s="50"/>
      <c r="P9" s="50"/>
      <c r="Q9" s="50"/>
      <c r="R9" s="50"/>
      <c r="S9" s="50"/>
      <c r="T9" s="50"/>
      <c r="U9" s="50"/>
      <c r="V9" s="50"/>
      <c r="W9" s="50"/>
      <c r="X9" s="51"/>
    </row>
    <row r="10" ht="28.5" customHeight="1">
      <c r="A10" s="235" t="s">
        <v>706</v>
      </c>
      <c r="B10" s="50"/>
      <c r="C10" s="50"/>
      <c r="D10" s="50"/>
      <c r="E10" s="51"/>
      <c r="F10" s="417" t="s">
        <v>121</v>
      </c>
      <c r="G10" s="50"/>
      <c r="H10" s="50"/>
      <c r="I10" s="50"/>
      <c r="J10" s="50"/>
      <c r="K10" s="50"/>
      <c r="L10" s="50"/>
      <c r="M10" s="50"/>
      <c r="N10" s="50"/>
      <c r="O10" s="50"/>
      <c r="P10" s="50"/>
      <c r="Q10" s="53" t="s">
        <v>707</v>
      </c>
      <c r="R10" s="50"/>
      <c r="S10" s="50"/>
      <c r="T10" s="51"/>
      <c r="U10" s="418" t="s">
        <v>708</v>
      </c>
      <c r="V10" s="50"/>
      <c r="W10" s="50"/>
      <c r="X10" s="51"/>
    </row>
    <row r="11" ht="15.75" customHeight="1">
      <c r="A11" s="281" t="s">
        <v>709</v>
      </c>
      <c r="B11" s="9"/>
      <c r="C11" s="9"/>
      <c r="D11" s="9"/>
      <c r="E11" s="10"/>
      <c r="F11" s="143" t="s">
        <v>192</v>
      </c>
      <c r="G11" s="9"/>
      <c r="H11" s="9"/>
      <c r="I11" s="9"/>
      <c r="J11" s="9"/>
      <c r="K11" s="9"/>
      <c r="L11" s="9"/>
      <c r="M11" s="9"/>
      <c r="N11" s="9"/>
      <c r="O11" s="9"/>
      <c r="P11" s="9"/>
      <c r="Q11" s="53" t="s">
        <v>710</v>
      </c>
      <c r="R11" s="50"/>
      <c r="S11" s="50"/>
      <c r="T11" s="51"/>
      <c r="U11" s="419" t="s">
        <v>711</v>
      </c>
      <c r="V11" s="9"/>
      <c r="W11" s="9"/>
      <c r="X11" s="10"/>
    </row>
    <row r="12" ht="26.25" customHeight="1">
      <c r="A12" s="282" t="s">
        <v>712</v>
      </c>
      <c r="B12" s="278"/>
      <c r="C12" s="278"/>
      <c r="D12" s="278"/>
      <c r="E12" s="279"/>
      <c r="F12" s="420" t="s">
        <v>713</v>
      </c>
      <c r="G12" s="278"/>
      <c r="H12" s="278"/>
      <c r="I12" s="278"/>
      <c r="J12" s="278"/>
      <c r="K12" s="278"/>
      <c r="L12" s="278"/>
      <c r="M12" s="278"/>
      <c r="N12" s="278"/>
      <c r="O12" s="278"/>
      <c r="P12" s="278"/>
      <c r="Q12" s="156" t="s">
        <v>714</v>
      </c>
      <c r="R12" s="50"/>
      <c r="S12" s="50"/>
      <c r="T12" s="51"/>
      <c r="U12" s="421" t="s">
        <v>715</v>
      </c>
      <c r="V12" s="278"/>
      <c r="W12" s="278"/>
      <c r="X12" s="279"/>
    </row>
    <row r="13" ht="15.75" customHeight="1">
      <c r="A13" s="282" t="s">
        <v>545</v>
      </c>
      <c r="B13" s="278"/>
      <c r="C13" s="278"/>
      <c r="D13" s="278"/>
      <c r="E13" s="279"/>
      <c r="F13" s="422" t="s">
        <v>194</v>
      </c>
      <c r="G13" s="278"/>
      <c r="H13" s="278"/>
      <c r="I13" s="278"/>
      <c r="J13" s="278"/>
      <c r="K13" s="278"/>
      <c r="L13" s="278"/>
      <c r="M13" s="278"/>
      <c r="N13" s="278"/>
      <c r="O13" s="278"/>
      <c r="P13" s="278"/>
      <c r="Q13" s="278"/>
      <c r="R13" s="278"/>
      <c r="S13" s="278"/>
      <c r="T13" s="278"/>
      <c r="U13" s="278"/>
      <c r="V13" s="278"/>
      <c r="W13" s="278"/>
      <c r="X13" s="279"/>
    </row>
    <row r="14" ht="15.75" customHeight="1">
      <c r="A14" s="283"/>
      <c r="B14" s="81"/>
      <c r="C14" s="81"/>
      <c r="D14" s="81"/>
      <c r="E14" s="81"/>
      <c r="F14" s="81"/>
      <c r="G14" s="81"/>
      <c r="H14" s="81"/>
      <c r="I14" s="81"/>
      <c r="J14" s="81"/>
      <c r="K14" s="81"/>
      <c r="L14" s="81"/>
      <c r="M14" s="81"/>
      <c r="N14" s="81"/>
      <c r="O14" s="81"/>
      <c r="P14" s="81"/>
      <c r="Q14" s="81"/>
      <c r="R14" s="81"/>
      <c r="S14" s="81"/>
      <c r="T14" s="81"/>
      <c r="U14" s="81"/>
      <c r="V14" s="81"/>
      <c r="W14" s="81"/>
      <c r="X14" s="82"/>
    </row>
    <row r="15" ht="15.75" customHeight="1">
      <c r="A15" s="296" t="s">
        <v>716</v>
      </c>
      <c r="B15" s="9"/>
      <c r="C15" s="9"/>
      <c r="D15" s="9"/>
      <c r="E15" s="9"/>
      <c r="F15" s="9"/>
      <c r="G15" s="9"/>
      <c r="H15" s="9"/>
      <c r="I15" s="9"/>
      <c r="J15" s="9"/>
      <c r="K15" s="9"/>
      <c r="L15" s="9"/>
      <c r="M15" s="9"/>
      <c r="N15" s="9"/>
      <c r="O15" s="9"/>
      <c r="P15" s="9"/>
      <c r="Q15" s="9"/>
      <c r="R15" s="9"/>
      <c r="S15" s="9"/>
      <c r="T15" s="9"/>
      <c r="U15" s="9"/>
      <c r="V15" s="9"/>
      <c r="W15" s="9"/>
      <c r="X15" s="10"/>
    </row>
    <row r="16" ht="15.75" customHeight="1">
      <c r="A16" s="423" t="s">
        <v>717</v>
      </c>
      <c r="B16" s="9"/>
      <c r="C16" s="9"/>
      <c r="D16" s="9"/>
      <c r="E16" s="10"/>
      <c r="F16" s="424" t="s">
        <v>718</v>
      </c>
      <c r="G16" s="9"/>
      <c r="H16" s="9"/>
      <c r="I16" s="9"/>
      <c r="J16" s="9"/>
      <c r="K16" s="9"/>
      <c r="L16" s="9"/>
      <c r="M16" s="9"/>
      <c r="N16" s="9"/>
      <c r="O16" s="9"/>
      <c r="P16" s="9"/>
      <c r="Q16" s="9"/>
      <c r="R16" s="9"/>
      <c r="S16" s="9"/>
      <c r="T16" s="9"/>
      <c r="U16" s="9"/>
      <c r="V16" s="9"/>
      <c r="W16" s="9"/>
      <c r="X16" s="10"/>
    </row>
    <row r="17" ht="15.75" customHeight="1">
      <c r="A17" s="79"/>
      <c r="E17" s="80"/>
      <c r="X17" s="80"/>
    </row>
    <row r="18" ht="1.5" customHeight="1">
      <c r="A18" s="39"/>
      <c r="B18" s="81"/>
      <c r="C18" s="81"/>
      <c r="D18" s="81"/>
      <c r="E18" s="82"/>
      <c r="F18" s="81"/>
      <c r="G18" s="81"/>
      <c r="H18" s="81"/>
      <c r="I18" s="81"/>
      <c r="J18" s="81"/>
      <c r="K18" s="81"/>
      <c r="L18" s="81"/>
      <c r="M18" s="81"/>
      <c r="N18" s="81"/>
      <c r="O18" s="81"/>
      <c r="P18" s="81"/>
      <c r="Q18" s="81"/>
      <c r="R18" s="81"/>
      <c r="S18" s="81"/>
      <c r="T18" s="81"/>
      <c r="U18" s="81"/>
      <c r="V18" s="81"/>
      <c r="W18" s="81"/>
      <c r="X18" s="82"/>
    </row>
    <row r="19" ht="15.75" customHeight="1">
      <c r="A19" s="423" t="s">
        <v>719</v>
      </c>
      <c r="B19" s="9"/>
      <c r="C19" s="9"/>
      <c r="D19" s="9"/>
      <c r="E19" s="10"/>
      <c r="F19" s="425" t="s">
        <v>720</v>
      </c>
      <c r="G19" s="57"/>
      <c r="H19" s="57"/>
      <c r="I19" s="57"/>
      <c r="J19" s="57"/>
      <c r="K19" s="57"/>
      <c r="L19" s="57"/>
      <c r="M19" s="57"/>
      <c r="N19" s="57"/>
      <c r="O19" s="57"/>
      <c r="P19" s="57"/>
      <c r="Q19" s="57"/>
      <c r="R19" s="57"/>
      <c r="S19" s="57"/>
      <c r="T19" s="57"/>
      <c r="U19" s="57"/>
      <c r="V19" s="57"/>
      <c r="W19" s="57"/>
      <c r="X19" s="59"/>
    </row>
    <row r="20" ht="15.75" customHeight="1">
      <c r="A20" s="79"/>
      <c r="E20" s="80"/>
      <c r="F20" s="425" t="s">
        <v>721</v>
      </c>
      <c r="G20" s="57"/>
      <c r="H20" s="57"/>
      <c r="I20" s="57"/>
      <c r="J20" s="57"/>
      <c r="K20" s="57"/>
      <c r="L20" s="57"/>
      <c r="M20" s="57"/>
      <c r="N20" s="57"/>
      <c r="O20" s="57"/>
      <c r="P20" s="57"/>
      <c r="Q20" s="57"/>
      <c r="R20" s="57"/>
      <c r="S20" s="57"/>
      <c r="T20" s="57"/>
      <c r="U20" s="57"/>
      <c r="V20" s="57"/>
      <c r="W20" s="57"/>
      <c r="X20" s="59"/>
    </row>
    <row r="21" ht="15.75" customHeight="1">
      <c r="A21" s="79"/>
      <c r="E21" s="80"/>
      <c r="F21" s="425" t="s">
        <v>722</v>
      </c>
      <c r="G21" s="57"/>
      <c r="H21" s="57"/>
      <c r="I21" s="57"/>
      <c r="J21" s="57"/>
      <c r="K21" s="57"/>
      <c r="L21" s="57"/>
      <c r="M21" s="57"/>
      <c r="N21" s="57"/>
      <c r="O21" s="57"/>
      <c r="P21" s="57"/>
      <c r="Q21" s="57"/>
      <c r="R21" s="57"/>
      <c r="S21" s="57"/>
      <c r="T21" s="57"/>
      <c r="U21" s="57"/>
      <c r="V21" s="57"/>
      <c r="W21" s="57"/>
      <c r="X21" s="59"/>
    </row>
    <row r="22" ht="15.75" customHeight="1">
      <c r="A22" s="79"/>
      <c r="E22" s="80"/>
      <c r="F22" s="425" t="s">
        <v>723</v>
      </c>
      <c r="G22" s="57"/>
      <c r="H22" s="57"/>
      <c r="I22" s="57"/>
      <c r="J22" s="57"/>
      <c r="K22" s="57"/>
      <c r="L22" s="57"/>
      <c r="M22" s="57"/>
      <c r="N22" s="57"/>
      <c r="O22" s="57"/>
      <c r="P22" s="57"/>
      <c r="Q22" s="57"/>
      <c r="R22" s="57"/>
      <c r="S22" s="57"/>
      <c r="T22" s="57"/>
      <c r="U22" s="57"/>
      <c r="V22" s="57"/>
      <c r="W22" s="57"/>
      <c r="X22" s="59"/>
    </row>
    <row r="23" ht="15.75" customHeight="1">
      <c r="A23" s="79"/>
      <c r="E23" s="80"/>
      <c r="F23" s="425" t="s">
        <v>724</v>
      </c>
      <c r="G23" s="57"/>
      <c r="H23" s="57"/>
      <c r="I23" s="57"/>
      <c r="J23" s="57"/>
      <c r="K23" s="57"/>
      <c r="L23" s="57"/>
      <c r="M23" s="57"/>
      <c r="N23" s="57"/>
      <c r="O23" s="57"/>
      <c r="P23" s="57"/>
      <c r="Q23" s="57"/>
      <c r="R23" s="57"/>
      <c r="S23" s="57"/>
      <c r="T23" s="57"/>
      <c r="U23" s="57"/>
      <c r="V23" s="57"/>
      <c r="W23" s="57"/>
      <c r="X23" s="59"/>
    </row>
    <row r="24" ht="15.75" customHeight="1">
      <c r="A24" s="79"/>
      <c r="E24" s="80"/>
      <c r="F24" s="426"/>
      <c r="G24" s="63"/>
      <c r="H24" s="63"/>
      <c r="I24" s="63"/>
      <c r="J24" s="63"/>
      <c r="K24" s="63"/>
      <c r="L24" s="63"/>
      <c r="M24" s="63"/>
      <c r="N24" s="63"/>
      <c r="O24" s="63"/>
      <c r="P24" s="63"/>
      <c r="Q24" s="63"/>
      <c r="R24" s="63"/>
      <c r="S24" s="63"/>
      <c r="T24" s="63"/>
      <c r="U24" s="63"/>
      <c r="V24" s="63"/>
      <c r="W24" s="63"/>
      <c r="X24" s="65"/>
    </row>
    <row r="25" ht="15.75" customHeight="1">
      <c r="A25" s="39"/>
      <c r="B25" s="81"/>
      <c r="C25" s="81"/>
      <c r="D25" s="81"/>
      <c r="E25" s="82"/>
      <c r="F25" s="427"/>
      <c r="G25" s="73"/>
      <c r="H25" s="73"/>
      <c r="I25" s="73"/>
      <c r="J25" s="73"/>
      <c r="K25" s="73"/>
      <c r="L25" s="73"/>
      <c r="M25" s="73"/>
      <c r="N25" s="73"/>
      <c r="O25" s="73"/>
      <c r="P25" s="73"/>
      <c r="Q25" s="73"/>
      <c r="R25" s="73"/>
      <c r="S25" s="73"/>
      <c r="T25" s="73"/>
      <c r="U25" s="73"/>
      <c r="V25" s="73"/>
      <c r="W25" s="73"/>
      <c r="X25" s="74"/>
    </row>
    <row r="26" ht="15.75" customHeight="1">
      <c r="A26" s="296" t="s">
        <v>725</v>
      </c>
      <c r="B26" s="9"/>
      <c r="C26" s="9"/>
      <c r="D26" s="9"/>
      <c r="E26" s="9"/>
      <c r="F26" s="9"/>
      <c r="G26" s="9"/>
      <c r="H26" s="9"/>
      <c r="I26" s="9"/>
      <c r="J26" s="9"/>
      <c r="K26" s="9"/>
      <c r="L26" s="9"/>
      <c r="M26" s="9"/>
      <c r="N26" s="9"/>
      <c r="O26" s="9"/>
      <c r="P26" s="9"/>
      <c r="Q26" s="9"/>
      <c r="R26" s="9"/>
      <c r="S26" s="9"/>
      <c r="T26" s="9"/>
      <c r="U26" s="9"/>
      <c r="V26" s="9"/>
      <c r="W26" s="9"/>
      <c r="X26" s="10"/>
    </row>
    <row r="27" ht="15.75" customHeight="1">
      <c r="A27" s="76" t="s">
        <v>726</v>
      </c>
      <c r="B27" s="50"/>
      <c r="C27" s="51"/>
      <c r="D27" s="76" t="s">
        <v>12</v>
      </c>
      <c r="E27" s="50"/>
      <c r="F27" s="50"/>
      <c r="G27" s="50"/>
      <c r="H27" s="50"/>
      <c r="I27" s="51"/>
      <c r="J27" s="76" t="s">
        <v>727</v>
      </c>
      <c r="K27" s="50"/>
      <c r="L27" s="50"/>
      <c r="M27" s="50"/>
      <c r="N27" s="50"/>
      <c r="O27" s="51"/>
      <c r="P27" s="76" t="s">
        <v>647</v>
      </c>
      <c r="Q27" s="50"/>
      <c r="R27" s="50"/>
      <c r="S27" s="50"/>
      <c r="T27" s="51"/>
      <c r="U27" s="76" t="s">
        <v>648</v>
      </c>
      <c r="V27" s="50"/>
      <c r="W27" s="50"/>
      <c r="X27" s="51"/>
    </row>
    <row r="28" ht="26.25" customHeight="1">
      <c r="A28" s="428">
        <v>1.0</v>
      </c>
      <c r="B28" s="119"/>
      <c r="C28" s="184"/>
      <c r="D28" s="429" t="s">
        <v>728</v>
      </c>
      <c r="E28" s="119"/>
      <c r="F28" s="119"/>
      <c r="G28" s="119"/>
      <c r="H28" s="119"/>
      <c r="I28" s="184"/>
      <c r="J28" s="430" t="s">
        <v>729</v>
      </c>
      <c r="K28" s="119"/>
      <c r="L28" s="119"/>
      <c r="M28" s="119"/>
      <c r="N28" s="119"/>
      <c r="O28" s="184"/>
      <c r="P28" s="429" t="s">
        <v>730</v>
      </c>
      <c r="Q28" s="119"/>
      <c r="R28" s="119"/>
      <c r="S28" s="119"/>
      <c r="T28" s="184"/>
      <c r="U28" s="429" t="s">
        <v>731</v>
      </c>
      <c r="V28" s="119"/>
      <c r="W28" s="119"/>
      <c r="X28" s="185"/>
    </row>
    <row r="29" ht="15.75" customHeight="1">
      <c r="A29" s="431">
        <v>2.0</v>
      </c>
      <c r="B29" s="175"/>
      <c r="C29" s="176"/>
      <c r="D29" s="432" t="s">
        <v>732</v>
      </c>
      <c r="E29" s="175"/>
      <c r="F29" s="175"/>
      <c r="G29" s="175"/>
      <c r="H29" s="175"/>
      <c r="I29" s="176"/>
      <c r="J29" s="432" t="s">
        <v>733</v>
      </c>
      <c r="K29" s="175"/>
      <c r="L29" s="175"/>
      <c r="M29" s="175"/>
      <c r="N29" s="175"/>
      <c r="O29" s="176"/>
      <c r="P29" s="432" t="s">
        <v>734</v>
      </c>
      <c r="Q29" s="175"/>
      <c r="R29" s="175"/>
      <c r="S29" s="175"/>
      <c r="T29" s="176"/>
      <c r="U29" s="432" t="s">
        <v>735</v>
      </c>
      <c r="V29" s="175"/>
      <c r="W29" s="175"/>
      <c r="X29" s="177"/>
    </row>
    <row r="30" ht="15.75" customHeight="1">
      <c r="A30" s="431">
        <v>3.0</v>
      </c>
      <c r="B30" s="175"/>
      <c r="C30" s="176"/>
      <c r="D30" s="432" t="s">
        <v>736</v>
      </c>
      <c r="E30" s="175"/>
      <c r="F30" s="175"/>
      <c r="G30" s="175"/>
      <c r="H30" s="175"/>
      <c r="I30" s="176"/>
      <c r="J30" s="432" t="s">
        <v>737</v>
      </c>
      <c r="K30" s="175"/>
      <c r="L30" s="175"/>
      <c r="M30" s="175"/>
      <c r="N30" s="175"/>
      <c r="O30" s="176"/>
      <c r="P30" s="432" t="s">
        <v>730</v>
      </c>
      <c r="Q30" s="175"/>
      <c r="R30" s="175"/>
      <c r="S30" s="175"/>
      <c r="T30" s="176"/>
      <c r="U30" s="433" t="s">
        <v>738</v>
      </c>
      <c r="V30" s="123"/>
      <c r="W30" s="123"/>
      <c r="X30" s="172"/>
    </row>
    <row r="31" ht="15.75" customHeight="1">
      <c r="A31" s="431">
        <v>4.0</v>
      </c>
      <c r="B31" s="175"/>
      <c r="C31" s="176"/>
      <c r="D31" s="432" t="s">
        <v>739</v>
      </c>
      <c r="E31" s="175"/>
      <c r="F31" s="175"/>
      <c r="G31" s="175"/>
      <c r="H31" s="175"/>
      <c r="I31" s="176"/>
      <c r="J31" s="432" t="s">
        <v>740</v>
      </c>
      <c r="K31" s="175"/>
      <c r="L31" s="175"/>
      <c r="M31" s="175"/>
      <c r="N31" s="175"/>
      <c r="O31" s="176"/>
      <c r="P31" s="432" t="s">
        <v>730</v>
      </c>
      <c r="Q31" s="175"/>
      <c r="R31" s="175"/>
      <c r="S31" s="175"/>
      <c r="T31" s="176"/>
      <c r="U31" s="432" t="s">
        <v>741</v>
      </c>
      <c r="V31" s="175"/>
      <c r="W31" s="175"/>
      <c r="X31" s="177"/>
    </row>
    <row r="32" ht="15.75" customHeight="1">
      <c r="A32" s="431">
        <v>5.0</v>
      </c>
      <c r="B32" s="175"/>
      <c r="C32" s="176"/>
      <c r="D32" s="432" t="s">
        <v>742</v>
      </c>
      <c r="E32" s="175"/>
      <c r="F32" s="175"/>
      <c r="G32" s="175"/>
      <c r="H32" s="175"/>
      <c r="I32" s="176"/>
      <c r="J32" s="432" t="s">
        <v>743</v>
      </c>
      <c r="K32" s="175"/>
      <c r="L32" s="175"/>
      <c r="M32" s="175"/>
      <c r="N32" s="175"/>
      <c r="O32" s="176"/>
      <c r="P32" s="432" t="s">
        <v>730</v>
      </c>
      <c r="Q32" s="175"/>
      <c r="R32" s="175"/>
      <c r="S32" s="175"/>
      <c r="T32" s="176"/>
      <c r="U32" s="433" t="s">
        <v>741</v>
      </c>
      <c r="V32" s="123"/>
      <c r="W32" s="123"/>
      <c r="X32" s="172"/>
    </row>
    <row r="33" ht="15.75" customHeight="1">
      <c r="A33" s="434"/>
      <c r="B33" s="311"/>
      <c r="C33" s="410"/>
      <c r="D33" s="435"/>
      <c r="E33" s="311"/>
      <c r="F33" s="311"/>
      <c r="G33" s="311"/>
      <c r="H33" s="311"/>
      <c r="I33" s="410"/>
      <c r="J33" s="435"/>
      <c r="K33" s="311"/>
      <c r="L33" s="311"/>
      <c r="M33" s="311"/>
      <c r="N33" s="311"/>
      <c r="O33" s="410"/>
      <c r="P33" s="435"/>
      <c r="Q33" s="311"/>
      <c r="R33" s="311"/>
      <c r="S33" s="311"/>
      <c r="T33" s="410"/>
      <c r="U33" s="435"/>
      <c r="V33" s="311"/>
      <c r="W33" s="311"/>
      <c r="X33" s="314"/>
    </row>
    <row r="34" ht="15.75" customHeight="1">
      <c r="A34" s="296" t="s">
        <v>744</v>
      </c>
      <c r="B34" s="9"/>
      <c r="C34" s="9"/>
      <c r="D34" s="9"/>
      <c r="E34" s="9"/>
      <c r="F34" s="9"/>
      <c r="G34" s="9"/>
      <c r="H34" s="9"/>
      <c r="I34" s="9"/>
      <c r="J34" s="9"/>
      <c r="K34" s="9"/>
      <c r="L34" s="9"/>
      <c r="M34" s="9"/>
      <c r="N34" s="9"/>
      <c r="O34" s="9"/>
      <c r="P34" s="9"/>
      <c r="Q34" s="9"/>
      <c r="R34" s="9"/>
      <c r="S34" s="9"/>
      <c r="T34" s="9"/>
      <c r="U34" s="9"/>
      <c r="V34" s="9"/>
      <c r="W34" s="9"/>
      <c r="X34" s="10"/>
    </row>
    <row r="35" ht="15.75" customHeight="1">
      <c r="A35" s="76" t="s">
        <v>112</v>
      </c>
      <c r="B35" s="50"/>
      <c r="C35" s="51"/>
      <c r="D35" s="281" t="s">
        <v>745</v>
      </c>
      <c r="E35" s="9"/>
      <c r="F35" s="9"/>
      <c r="G35" s="9"/>
      <c r="H35" s="9"/>
      <c r="I35" s="9"/>
      <c r="J35" s="9"/>
      <c r="K35" s="9"/>
      <c r="L35" s="9"/>
      <c r="M35" s="9"/>
      <c r="N35" s="9"/>
      <c r="O35" s="10"/>
      <c r="P35" s="281" t="s">
        <v>746</v>
      </c>
      <c r="Q35" s="9"/>
      <c r="R35" s="9"/>
      <c r="S35" s="9"/>
      <c r="T35" s="10"/>
      <c r="U35" s="281" t="s">
        <v>747</v>
      </c>
      <c r="V35" s="9"/>
      <c r="W35" s="9"/>
      <c r="X35" s="10"/>
    </row>
    <row r="36" ht="15.75" customHeight="1">
      <c r="A36" s="436">
        <v>1.0</v>
      </c>
      <c r="B36" s="348"/>
      <c r="C36" s="437"/>
      <c r="D36" s="436" t="s">
        <v>748</v>
      </c>
      <c r="E36" s="348"/>
      <c r="F36" s="348"/>
      <c r="G36" s="348"/>
      <c r="H36" s="348"/>
      <c r="I36" s="348"/>
      <c r="J36" s="348"/>
      <c r="K36" s="348"/>
      <c r="L36" s="348"/>
      <c r="M36" s="348"/>
      <c r="N36" s="348"/>
      <c r="O36" s="437"/>
      <c r="P36" s="438">
        <f>50%*'T3.D1.15a Drafting SOW '!N23</f>
        <v>3312</v>
      </c>
      <c r="Q36" s="348"/>
      <c r="R36" s="348"/>
      <c r="S36" s="348"/>
      <c r="T36" s="437"/>
      <c r="U36" s="436" t="s">
        <v>749</v>
      </c>
      <c r="V36" s="348"/>
      <c r="W36" s="348"/>
      <c r="X36" s="437"/>
    </row>
    <row r="37" ht="15.75" customHeight="1">
      <c r="A37" s="439">
        <v>2.0</v>
      </c>
      <c r="B37" s="350"/>
      <c r="C37" s="440"/>
      <c r="D37" s="439" t="s">
        <v>750</v>
      </c>
      <c r="E37" s="350"/>
      <c r="F37" s="350"/>
      <c r="G37" s="350"/>
      <c r="H37" s="350"/>
      <c r="I37" s="350"/>
      <c r="J37" s="350"/>
      <c r="K37" s="350"/>
      <c r="L37" s="350"/>
      <c r="M37" s="350"/>
      <c r="N37" s="350"/>
      <c r="O37" s="440"/>
      <c r="P37" s="441">
        <f>10%*'T3.D1.15a Drafting SOW '!N23</f>
        <v>662.4</v>
      </c>
      <c r="Q37" s="350"/>
      <c r="R37" s="350"/>
      <c r="S37" s="350"/>
      <c r="T37" s="440"/>
      <c r="U37" s="441"/>
      <c r="V37" s="350"/>
      <c r="W37" s="350"/>
      <c r="X37" s="440"/>
    </row>
    <row r="38" ht="23.25" customHeight="1">
      <c r="A38" s="439">
        <v>3.0</v>
      </c>
      <c r="B38" s="350"/>
      <c r="C38" s="440"/>
      <c r="D38" s="439" t="s">
        <v>751</v>
      </c>
      <c r="E38" s="350"/>
      <c r="F38" s="350"/>
      <c r="G38" s="350"/>
      <c r="H38" s="350"/>
      <c r="I38" s="350"/>
      <c r="J38" s="350"/>
      <c r="K38" s="350"/>
      <c r="L38" s="350"/>
      <c r="M38" s="350"/>
      <c r="N38" s="350"/>
      <c r="O38" s="440"/>
      <c r="P38" s="441">
        <f>15%*'T3.D1.15a Drafting SOW '!N23</f>
        <v>993.6</v>
      </c>
      <c r="Q38" s="350"/>
      <c r="R38" s="350"/>
      <c r="S38" s="350"/>
      <c r="T38" s="440"/>
      <c r="U38" s="442" t="s">
        <v>752</v>
      </c>
      <c r="V38" s="350"/>
      <c r="W38" s="350"/>
      <c r="X38" s="440"/>
    </row>
    <row r="39" ht="15.75" customHeight="1">
      <c r="A39" s="439">
        <v>4.0</v>
      </c>
      <c r="B39" s="350"/>
      <c r="C39" s="440"/>
      <c r="D39" s="439" t="s">
        <v>753</v>
      </c>
      <c r="E39" s="350"/>
      <c r="F39" s="350"/>
      <c r="G39" s="350"/>
      <c r="H39" s="350"/>
      <c r="I39" s="350"/>
      <c r="J39" s="350"/>
      <c r="K39" s="350"/>
      <c r="L39" s="350"/>
      <c r="M39" s="350"/>
      <c r="N39" s="350"/>
      <c r="O39" s="440"/>
      <c r="P39" s="441">
        <f>5%*'T3.D1.15a Drafting SOW '!N23</f>
        <v>331.2</v>
      </c>
      <c r="Q39" s="350"/>
      <c r="R39" s="350"/>
      <c r="S39" s="350"/>
      <c r="T39" s="440"/>
      <c r="U39" s="441"/>
      <c r="V39" s="350"/>
      <c r="W39" s="350"/>
      <c r="X39" s="440"/>
    </row>
    <row r="40" ht="15.75" customHeight="1">
      <c r="A40" s="439">
        <v>5.0</v>
      </c>
      <c r="B40" s="350"/>
      <c r="C40" s="440"/>
      <c r="D40" s="439" t="s">
        <v>754</v>
      </c>
      <c r="E40" s="350"/>
      <c r="F40" s="350"/>
      <c r="G40" s="350"/>
      <c r="H40" s="350"/>
      <c r="I40" s="350"/>
      <c r="J40" s="350"/>
      <c r="K40" s="350"/>
      <c r="L40" s="350"/>
      <c r="M40" s="350"/>
      <c r="N40" s="350"/>
      <c r="O40" s="440"/>
      <c r="P40" s="441">
        <f>20%*'T3.D1.15a Drafting SOW '!N23</f>
        <v>1324.8</v>
      </c>
      <c r="Q40" s="350"/>
      <c r="R40" s="350"/>
      <c r="S40" s="350"/>
      <c r="T40" s="440"/>
      <c r="U40" s="439" t="s">
        <v>755</v>
      </c>
      <c r="V40" s="350"/>
      <c r="W40" s="350"/>
      <c r="X40" s="440"/>
    </row>
    <row r="41" ht="15.75" customHeight="1">
      <c r="A41" s="443"/>
      <c r="B41" s="359"/>
      <c r="C41" s="444"/>
      <c r="D41" s="445"/>
      <c r="E41" s="352"/>
      <c r="F41" s="352"/>
      <c r="G41" s="352"/>
      <c r="H41" s="352"/>
      <c r="I41" s="352"/>
      <c r="J41" s="352"/>
      <c r="K41" s="352"/>
      <c r="L41" s="352"/>
      <c r="M41" s="352"/>
      <c r="N41" s="352"/>
      <c r="O41" s="446"/>
      <c r="P41" s="445"/>
      <c r="Q41" s="352"/>
      <c r="R41" s="352"/>
      <c r="S41" s="352"/>
      <c r="T41" s="446"/>
      <c r="U41" s="445"/>
      <c r="V41" s="352"/>
      <c r="W41" s="352"/>
      <c r="X41" s="446"/>
    </row>
    <row r="42" ht="15.75" customHeight="1">
      <c r="A42" s="447" t="s">
        <v>756</v>
      </c>
      <c r="B42" s="50"/>
      <c r="C42" s="50"/>
      <c r="D42" s="50"/>
      <c r="E42" s="50"/>
      <c r="F42" s="50"/>
      <c r="G42" s="50"/>
      <c r="H42" s="50"/>
      <c r="I42" s="50"/>
      <c r="J42" s="50"/>
      <c r="K42" s="50"/>
      <c r="L42" s="50"/>
      <c r="M42" s="50"/>
      <c r="N42" s="50"/>
      <c r="O42" s="50"/>
      <c r="P42" s="50"/>
      <c r="Q42" s="50"/>
      <c r="R42" s="50"/>
      <c r="S42" s="50"/>
      <c r="T42" s="51"/>
      <c r="U42" s="448">
        <f>sum(P36:T40)</f>
        <v>6624</v>
      </c>
      <c r="V42" s="50"/>
      <c r="W42" s="50"/>
      <c r="X42" s="51"/>
    </row>
    <row r="43" ht="15.75" customHeight="1">
      <c r="A43" s="49" t="s">
        <v>757</v>
      </c>
      <c r="B43" s="50"/>
      <c r="C43" s="50"/>
      <c r="D43" s="50"/>
      <c r="E43" s="50"/>
      <c r="F43" s="50"/>
      <c r="G43" s="50"/>
      <c r="H43" s="50"/>
      <c r="I43" s="50"/>
      <c r="J43" s="50"/>
      <c r="K43" s="50"/>
      <c r="L43" s="50"/>
      <c r="M43" s="50"/>
      <c r="N43" s="50"/>
      <c r="O43" s="50"/>
      <c r="P43" s="50"/>
      <c r="Q43" s="50"/>
      <c r="R43" s="50"/>
      <c r="S43" s="50"/>
      <c r="T43" s="50"/>
      <c r="U43" s="50"/>
      <c r="V43" s="50"/>
      <c r="W43" s="50"/>
      <c r="X43" s="51"/>
    </row>
    <row r="44" ht="70.5" customHeight="1">
      <c r="A44" s="438" t="s">
        <v>758</v>
      </c>
      <c r="B44" s="348"/>
      <c r="C44" s="348"/>
      <c r="D44" s="449"/>
      <c r="E44" s="450" t="s">
        <v>759</v>
      </c>
      <c r="F44" s="348"/>
      <c r="G44" s="348"/>
      <c r="H44" s="348"/>
      <c r="I44" s="348"/>
      <c r="J44" s="348"/>
      <c r="K44" s="348"/>
      <c r="L44" s="348"/>
      <c r="M44" s="348"/>
      <c r="N44" s="348"/>
      <c r="O44" s="348"/>
      <c r="P44" s="348"/>
      <c r="Q44" s="348"/>
      <c r="R44" s="348"/>
      <c r="S44" s="348"/>
      <c r="T44" s="348"/>
      <c r="U44" s="348"/>
      <c r="V44" s="348"/>
      <c r="W44" s="348"/>
      <c r="X44" s="437"/>
    </row>
    <row r="45" ht="15.75" customHeight="1">
      <c r="A45" s="451" t="s">
        <v>760</v>
      </c>
      <c r="B45" s="352"/>
      <c r="C45" s="352"/>
      <c r="D45" s="452"/>
      <c r="E45" s="453" t="s">
        <v>761</v>
      </c>
      <c r="F45" s="352"/>
      <c r="G45" s="352"/>
      <c r="H45" s="352"/>
      <c r="I45" s="352"/>
      <c r="J45" s="352"/>
      <c r="K45" s="352"/>
      <c r="L45" s="352"/>
      <c r="M45" s="352"/>
      <c r="N45" s="352"/>
      <c r="O45" s="352"/>
      <c r="P45" s="352"/>
      <c r="Q45" s="352"/>
      <c r="R45" s="352"/>
      <c r="S45" s="352"/>
      <c r="T45" s="352"/>
      <c r="U45" s="352"/>
      <c r="V45" s="352"/>
      <c r="W45" s="352"/>
      <c r="X45" s="446"/>
    </row>
    <row r="46" ht="41.25" customHeight="1">
      <c r="A46" s="39"/>
      <c r="B46" s="81"/>
      <c r="C46" s="81"/>
      <c r="D46" s="454"/>
      <c r="E46" s="455"/>
      <c r="F46" s="81"/>
      <c r="G46" s="81"/>
      <c r="H46" s="81"/>
      <c r="I46" s="81"/>
      <c r="J46" s="81"/>
      <c r="K46" s="81"/>
      <c r="L46" s="81"/>
      <c r="M46" s="81"/>
      <c r="N46" s="81"/>
      <c r="O46" s="81"/>
      <c r="P46" s="81"/>
      <c r="Q46" s="81"/>
      <c r="R46" s="81"/>
      <c r="S46" s="81"/>
      <c r="T46" s="81"/>
      <c r="U46" s="81"/>
      <c r="V46" s="81"/>
      <c r="W46" s="81"/>
      <c r="X46" s="82"/>
    </row>
    <row r="47" ht="15.75" customHeight="1">
      <c r="A47" s="160" t="s">
        <v>762</v>
      </c>
      <c r="B47" s="50"/>
      <c r="C47" s="50"/>
      <c r="D47" s="50"/>
      <c r="E47" s="50"/>
      <c r="F47" s="50"/>
      <c r="G47" s="50"/>
      <c r="H47" s="50"/>
      <c r="I47" s="50"/>
      <c r="J47" s="50"/>
      <c r="K47" s="50"/>
      <c r="L47" s="50"/>
      <c r="M47" s="50"/>
      <c r="N47" s="50"/>
      <c r="O47" s="50"/>
      <c r="P47" s="50"/>
      <c r="Q47" s="50"/>
      <c r="R47" s="50"/>
      <c r="S47" s="50"/>
      <c r="T47" s="50"/>
      <c r="U47" s="50"/>
      <c r="V47" s="50"/>
      <c r="W47" s="50"/>
      <c r="X47" s="51"/>
    </row>
    <row r="48" ht="15.75" customHeight="1">
      <c r="A48" s="303" t="s">
        <v>763</v>
      </c>
      <c r="B48" s="119"/>
      <c r="C48" s="119"/>
      <c r="D48" s="119"/>
      <c r="E48" s="119"/>
      <c r="F48" s="120"/>
      <c r="G48" s="304" t="s">
        <v>764</v>
      </c>
      <c r="H48" s="119"/>
      <c r="I48" s="119"/>
      <c r="J48" s="119"/>
      <c r="K48" s="119"/>
      <c r="L48" s="119"/>
      <c r="M48" s="119"/>
      <c r="N48" s="119"/>
      <c r="O48" s="119"/>
      <c r="P48" s="119"/>
      <c r="Q48" s="119"/>
      <c r="R48" s="119"/>
      <c r="S48" s="119"/>
      <c r="T48" s="119"/>
      <c r="U48" s="119"/>
      <c r="V48" s="119"/>
      <c r="W48" s="119"/>
      <c r="X48" s="185"/>
    </row>
    <row r="49" ht="15.75" customHeight="1">
      <c r="A49" s="456" t="s">
        <v>610</v>
      </c>
      <c r="B49" s="457"/>
      <c r="C49" s="457"/>
      <c r="D49" s="457"/>
      <c r="E49" s="457"/>
      <c r="F49" s="458"/>
      <c r="G49" s="459"/>
      <c r="H49" s="457"/>
      <c r="I49" s="457"/>
      <c r="J49" s="457"/>
      <c r="K49" s="457"/>
      <c r="L49" s="457"/>
      <c r="M49" s="457"/>
      <c r="N49" s="457"/>
      <c r="O49" s="457"/>
      <c r="P49" s="460" t="s">
        <v>765</v>
      </c>
      <c r="Q49" s="457"/>
      <c r="R49" s="457"/>
      <c r="S49" s="461"/>
      <c r="T49" s="462" t="s">
        <v>766</v>
      </c>
      <c r="U49" s="457"/>
      <c r="V49" s="457"/>
      <c r="W49" s="457"/>
      <c r="X49" s="463"/>
    </row>
    <row r="50" ht="15.75" customHeight="1">
      <c r="A50" s="39"/>
      <c r="B50" s="81"/>
      <c r="C50" s="81"/>
      <c r="D50" s="81"/>
      <c r="E50" s="81"/>
      <c r="F50" s="40"/>
      <c r="G50" s="41"/>
      <c r="H50" s="81"/>
      <c r="I50" s="81"/>
      <c r="J50" s="81"/>
      <c r="K50" s="81"/>
      <c r="L50" s="81"/>
      <c r="M50" s="81"/>
      <c r="N50" s="81"/>
      <c r="O50" s="81"/>
      <c r="P50" s="464"/>
      <c r="Q50" s="81"/>
      <c r="R50" s="81"/>
      <c r="S50" s="465"/>
      <c r="T50" s="81"/>
      <c r="U50" s="81"/>
      <c r="V50" s="81"/>
      <c r="W50" s="81"/>
      <c r="X50" s="82"/>
    </row>
  </sheetData>
  <mergeCells count="165">
    <mergeCell ref="A33:C33"/>
    <mergeCell ref="A35:C35"/>
    <mergeCell ref="A36:C36"/>
    <mergeCell ref="D36:O36"/>
    <mergeCell ref="P36:T36"/>
    <mergeCell ref="U36:X36"/>
    <mergeCell ref="A37:C37"/>
    <mergeCell ref="U37:X37"/>
    <mergeCell ref="D37:O37"/>
    <mergeCell ref="P37:T37"/>
    <mergeCell ref="A38:C38"/>
    <mergeCell ref="D38:O38"/>
    <mergeCell ref="P38:T38"/>
    <mergeCell ref="U38:X38"/>
    <mergeCell ref="A39:C39"/>
    <mergeCell ref="U39:X39"/>
    <mergeCell ref="A11:E11"/>
    <mergeCell ref="F11:P11"/>
    <mergeCell ref="Q11:T11"/>
    <mergeCell ref="U11:X11"/>
    <mergeCell ref="F12:P12"/>
    <mergeCell ref="Q12:T12"/>
    <mergeCell ref="U12:X12"/>
    <mergeCell ref="F20:X20"/>
    <mergeCell ref="F21:X21"/>
    <mergeCell ref="F22:X22"/>
    <mergeCell ref="F23:X23"/>
    <mergeCell ref="F24:X24"/>
    <mergeCell ref="F25:X25"/>
    <mergeCell ref="F13:X13"/>
    <mergeCell ref="A14:X14"/>
    <mergeCell ref="A15:X15"/>
    <mergeCell ref="A16:E18"/>
    <mergeCell ref="F16:X18"/>
    <mergeCell ref="F19:X19"/>
    <mergeCell ref="A26:X26"/>
    <mergeCell ref="A19:E25"/>
    <mergeCell ref="A27:C27"/>
    <mergeCell ref="A28:C28"/>
    <mergeCell ref="A29:C29"/>
    <mergeCell ref="A30:C30"/>
    <mergeCell ref="A31:C31"/>
    <mergeCell ref="A32:C32"/>
    <mergeCell ref="P49:S50"/>
    <mergeCell ref="T49:X50"/>
    <mergeCell ref="A45:D46"/>
    <mergeCell ref="E45:X46"/>
    <mergeCell ref="A47:X47"/>
    <mergeCell ref="A48:F48"/>
    <mergeCell ref="G48:X48"/>
    <mergeCell ref="A49:F50"/>
    <mergeCell ref="G49:O50"/>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E10"/>
    <mergeCell ref="F10:P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2:E12"/>
    <mergeCell ref="A13:E13"/>
    <mergeCell ref="D27:I27"/>
    <mergeCell ref="J27:O27"/>
    <mergeCell ref="P27:T27"/>
    <mergeCell ref="U27:X27"/>
    <mergeCell ref="J28:O28"/>
    <mergeCell ref="P28:T28"/>
    <mergeCell ref="U28:X28"/>
    <mergeCell ref="D28:I28"/>
    <mergeCell ref="D29:I29"/>
    <mergeCell ref="J29:O29"/>
    <mergeCell ref="P29:T29"/>
    <mergeCell ref="U29:X29"/>
    <mergeCell ref="D30:I30"/>
    <mergeCell ref="J30:O30"/>
    <mergeCell ref="J32:O32"/>
    <mergeCell ref="P32:T32"/>
    <mergeCell ref="P30:T30"/>
    <mergeCell ref="U30:X30"/>
    <mergeCell ref="D31:I31"/>
    <mergeCell ref="J31:O31"/>
    <mergeCell ref="P31:T31"/>
    <mergeCell ref="U31:X31"/>
    <mergeCell ref="U32:X32"/>
    <mergeCell ref="P35:T35"/>
    <mergeCell ref="U35:X35"/>
    <mergeCell ref="D32:I32"/>
    <mergeCell ref="D33:I33"/>
    <mergeCell ref="J33:O33"/>
    <mergeCell ref="P33:T33"/>
    <mergeCell ref="U33:X33"/>
    <mergeCell ref="A34:X34"/>
    <mergeCell ref="D35:O35"/>
    <mergeCell ref="D39:O39"/>
    <mergeCell ref="P39:T39"/>
    <mergeCell ref="A40:C40"/>
    <mergeCell ref="D40:O40"/>
    <mergeCell ref="P40:T40"/>
    <mergeCell ref="U40:X40"/>
    <mergeCell ref="A41:C41"/>
    <mergeCell ref="U41:X41"/>
    <mergeCell ref="D41:O41"/>
    <mergeCell ref="P41:T41"/>
    <mergeCell ref="A42:T42"/>
    <mergeCell ref="U42:X42"/>
    <mergeCell ref="A43:X43"/>
    <mergeCell ref="A44:D44"/>
    <mergeCell ref="E44:X44"/>
  </mergeCells>
  <printOptions gridLines="1" horizontalCentered="1"/>
  <pageMargins bottom="0.75" footer="0.0" header="0.0" left="0.7" right="0.7" top="0.75"/>
  <pageSetup fitToHeight="0"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466" t="s">
        <v>0</v>
      </c>
      <c r="B1" s="207"/>
      <c r="C1" s="208" t="s">
        <v>133</v>
      </c>
      <c r="D1" s="207"/>
      <c r="E1" s="209" t="s">
        <v>1</v>
      </c>
      <c r="F1" s="207"/>
      <c r="G1" s="208" t="s">
        <v>767</v>
      </c>
      <c r="H1" s="207"/>
      <c r="I1" s="209" t="s">
        <v>2</v>
      </c>
      <c r="J1" s="207"/>
      <c r="K1" s="210" t="s">
        <v>180</v>
      </c>
      <c r="L1" s="207"/>
      <c r="M1" s="211" t="s">
        <v>3</v>
      </c>
      <c r="N1" s="207"/>
      <c r="O1" s="212">
        <v>4.0</v>
      </c>
      <c r="P1" s="207"/>
      <c r="Q1" s="209" t="s">
        <v>4</v>
      </c>
      <c r="R1" s="207"/>
      <c r="S1" s="208" t="s">
        <v>99</v>
      </c>
      <c r="T1" s="207"/>
      <c r="U1" s="213"/>
      <c r="V1" s="214"/>
      <c r="W1" s="214"/>
      <c r="X1" s="467"/>
    </row>
    <row r="2" ht="15.75" customHeight="1">
      <c r="A2" s="11" t="s">
        <v>5</v>
      </c>
      <c r="B2" s="12"/>
      <c r="C2" s="13" t="s">
        <v>134</v>
      </c>
      <c r="D2" s="12"/>
      <c r="E2" s="14" t="s">
        <v>6</v>
      </c>
      <c r="F2" s="12"/>
      <c r="G2" s="13" t="s">
        <v>194</v>
      </c>
      <c r="H2" s="12"/>
      <c r="I2" s="14" t="s">
        <v>7</v>
      </c>
      <c r="J2" s="12"/>
      <c r="K2" s="15" t="s">
        <v>180</v>
      </c>
      <c r="L2" s="12"/>
      <c r="M2" s="16" t="s">
        <v>8</v>
      </c>
      <c r="N2" s="12"/>
      <c r="O2" s="13" t="s">
        <v>768</v>
      </c>
      <c r="P2" s="12"/>
      <c r="Q2" s="14" t="s">
        <v>10</v>
      </c>
      <c r="R2" s="12"/>
      <c r="S2" s="13" t="s">
        <v>96</v>
      </c>
      <c r="T2" s="12"/>
      <c r="U2" s="217"/>
      <c r="V2" s="218"/>
      <c r="W2" s="218"/>
      <c r="X2" s="241"/>
    </row>
    <row r="3" ht="15.75" customHeight="1">
      <c r="A3" s="11" t="s">
        <v>18</v>
      </c>
      <c r="B3" s="12"/>
      <c r="C3" s="13" t="s">
        <v>19</v>
      </c>
      <c r="D3" s="12"/>
      <c r="E3" s="14" t="s">
        <v>20</v>
      </c>
      <c r="F3" s="12"/>
      <c r="G3" s="13" t="s">
        <v>769</v>
      </c>
      <c r="H3" s="12"/>
      <c r="I3" s="14" t="s">
        <v>21</v>
      </c>
      <c r="J3" s="12"/>
      <c r="K3" s="20" t="s">
        <v>180</v>
      </c>
      <c r="L3" s="12"/>
      <c r="M3" s="16" t="s">
        <v>22</v>
      </c>
      <c r="N3" s="12"/>
      <c r="O3" s="13">
        <v>0.0</v>
      </c>
      <c r="P3" s="12"/>
      <c r="Q3" s="14" t="s">
        <v>23</v>
      </c>
      <c r="R3" s="12"/>
      <c r="S3" s="13"/>
      <c r="T3" s="12"/>
      <c r="U3" s="220" t="s">
        <v>17</v>
      </c>
      <c r="V3" s="18"/>
      <c r="W3" s="18"/>
      <c r="X3" s="19"/>
    </row>
    <row r="4" ht="15.75" customHeight="1">
      <c r="A4" s="11" t="s">
        <v>25</v>
      </c>
      <c r="B4" s="12"/>
      <c r="C4" s="13" t="s">
        <v>180</v>
      </c>
      <c r="D4" s="12"/>
      <c r="E4" s="14" t="s">
        <v>27</v>
      </c>
      <c r="F4" s="12"/>
      <c r="G4" s="13" t="s">
        <v>770</v>
      </c>
      <c r="H4" s="12"/>
      <c r="I4" s="14" t="s">
        <v>28</v>
      </c>
      <c r="J4" s="12"/>
      <c r="K4" s="24" t="s">
        <v>180</v>
      </c>
      <c r="L4" s="25"/>
      <c r="M4" s="26" t="s">
        <v>180</v>
      </c>
      <c r="N4" s="27"/>
      <c r="O4" s="28" t="s">
        <v>180</v>
      </c>
      <c r="P4" s="27"/>
      <c r="Q4" s="14" t="s">
        <v>29</v>
      </c>
      <c r="R4" s="12"/>
      <c r="S4" s="20" t="s">
        <v>244</v>
      </c>
      <c r="T4" s="12"/>
      <c r="U4" s="29" t="s">
        <v>24</v>
      </c>
      <c r="V4" s="22"/>
      <c r="W4" s="22"/>
      <c r="X4" s="23"/>
    </row>
    <row r="5" ht="15.75" customHeight="1">
      <c r="A5" s="30" t="s">
        <v>180</v>
      </c>
      <c r="B5" s="27"/>
      <c r="C5" s="31" t="s">
        <v>180</v>
      </c>
      <c r="D5" s="27"/>
      <c r="E5" s="14" t="s">
        <v>180</v>
      </c>
      <c r="F5" s="12"/>
      <c r="G5" s="13" t="s">
        <v>180</v>
      </c>
      <c r="H5" s="12"/>
      <c r="I5" s="14" t="s">
        <v>180</v>
      </c>
      <c r="J5" s="12"/>
      <c r="K5" s="32" t="s">
        <v>180</v>
      </c>
      <c r="L5" s="33"/>
      <c r="M5" s="34"/>
      <c r="N5" s="35"/>
      <c r="O5" s="34"/>
      <c r="P5" s="35"/>
      <c r="Q5" s="36" t="s">
        <v>180</v>
      </c>
      <c r="R5" s="27"/>
      <c r="S5" s="37" t="s">
        <v>180</v>
      </c>
      <c r="T5" s="27"/>
      <c r="U5" s="38" t="s">
        <v>30</v>
      </c>
      <c r="V5" s="22"/>
      <c r="W5" s="22"/>
      <c r="X5" s="23"/>
    </row>
    <row r="6" ht="15.75" customHeight="1">
      <c r="A6" s="468"/>
      <c r="B6" s="225"/>
      <c r="C6" s="226"/>
      <c r="D6" s="225"/>
      <c r="E6" s="227" t="s">
        <v>180</v>
      </c>
      <c r="F6" s="228"/>
      <c r="G6" s="229" t="s">
        <v>180</v>
      </c>
      <c r="H6" s="228"/>
      <c r="I6" s="227" t="s">
        <v>180</v>
      </c>
      <c r="J6" s="228"/>
      <c r="K6" s="230" t="s">
        <v>180</v>
      </c>
      <c r="L6" s="228"/>
      <c r="M6" s="226"/>
      <c r="N6" s="225"/>
      <c r="O6" s="226"/>
      <c r="P6" s="225"/>
      <c r="Q6" s="226"/>
      <c r="R6" s="225"/>
      <c r="S6" s="226"/>
      <c r="T6" s="225"/>
      <c r="U6" s="231" t="s">
        <v>33</v>
      </c>
      <c r="V6" s="232"/>
      <c r="W6" s="232"/>
      <c r="X6" s="469"/>
    </row>
    <row r="7" ht="15.75" customHeight="1">
      <c r="A7" s="234" t="s">
        <v>771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772</v>
      </c>
      <c r="B8" s="50"/>
      <c r="C8" s="50"/>
      <c r="D8" s="50"/>
      <c r="E8" s="50"/>
      <c r="F8" s="50"/>
      <c r="G8" s="50"/>
      <c r="H8" s="50"/>
      <c r="I8" s="50"/>
      <c r="J8" s="50"/>
      <c r="K8" s="50"/>
      <c r="L8" s="50"/>
      <c r="M8" s="50"/>
      <c r="N8" s="50"/>
      <c r="O8" s="50"/>
      <c r="P8" s="50"/>
      <c r="Q8" s="50"/>
      <c r="R8" s="50"/>
      <c r="S8" s="50"/>
      <c r="T8" s="50"/>
      <c r="U8" s="50"/>
      <c r="V8" s="50"/>
      <c r="W8" s="50"/>
      <c r="X8" s="51"/>
    </row>
    <row r="9" ht="15.75" customHeight="1">
      <c r="A9" s="49"/>
      <c r="B9" s="50"/>
      <c r="C9" s="50"/>
      <c r="D9" s="50"/>
      <c r="E9" s="50"/>
      <c r="F9" s="50"/>
      <c r="G9" s="50"/>
      <c r="H9" s="50"/>
      <c r="I9" s="50"/>
      <c r="J9" s="50"/>
      <c r="K9" s="50"/>
      <c r="L9" s="50"/>
      <c r="M9" s="50"/>
      <c r="N9" s="50"/>
      <c r="O9" s="50"/>
      <c r="P9" s="50"/>
      <c r="Q9" s="50"/>
      <c r="R9" s="50"/>
      <c r="S9" s="50"/>
      <c r="T9" s="50"/>
      <c r="U9" s="50"/>
      <c r="V9" s="50"/>
      <c r="W9" s="50"/>
      <c r="X9" s="51"/>
    </row>
    <row r="10" ht="15.75" customHeight="1">
      <c r="A10" s="163" t="s">
        <v>112</v>
      </c>
      <c r="B10" s="75" t="s">
        <v>773</v>
      </c>
      <c r="C10" s="50"/>
      <c r="D10" s="50"/>
      <c r="E10" s="50"/>
      <c r="F10" s="51"/>
      <c r="G10" s="75" t="s">
        <v>774</v>
      </c>
      <c r="H10" s="50"/>
      <c r="I10" s="50"/>
      <c r="J10" s="50"/>
      <c r="K10" s="50"/>
      <c r="L10" s="51"/>
      <c r="M10" s="75" t="s">
        <v>775</v>
      </c>
      <c r="N10" s="50"/>
      <c r="O10" s="51"/>
      <c r="P10" s="75" t="s">
        <v>776</v>
      </c>
      <c r="Q10" s="50"/>
      <c r="R10" s="50"/>
      <c r="S10" s="50"/>
      <c r="T10" s="50"/>
      <c r="U10" s="51"/>
      <c r="V10" s="75" t="s">
        <v>777</v>
      </c>
      <c r="W10" s="50"/>
      <c r="X10" s="51"/>
    </row>
    <row r="11" ht="15.75" customHeight="1">
      <c r="A11" s="470">
        <v>1.1</v>
      </c>
      <c r="B11" s="471" t="s">
        <v>778</v>
      </c>
      <c r="G11" s="471" t="s">
        <v>779</v>
      </c>
      <c r="M11" s="471">
        <v>1.0</v>
      </c>
      <c r="P11" s="472" t="s">
        <v>780</v>
      </c>
      <c r="V11" s="471" t="s">
        <v>781</v>
      </c>
      <c r="X11" s="80"/>
    </row>
    <row r="12" ht="15.75" customHeight="1">
      <c r="A12" s="470">
        <v>1.2</v>
      </c>
      <c r="B12" s="471" t="s">
        <v>782</v>
      </c>
      <c r="G12" s="471" t="s">
        <v>783</v>
      </c>
      <c r="M12" s="471">
        <v>1.0</v>
      </c>
      <c r="P12" s="472" t="s">
        <v>784</v>
      </c>
      <c r="V12" s="471" t="s">
        <v>785</v>
      </c>
      <c r="X12" s="80"/>
    </row>
    <row r="13" ht="15.75" customHeight="1">
      <c r="A13" s="470">
        <v>1.3</v>
      </c>
      <c r="B13" s="471" t="s">
        <v>739</v>
      </c>
      <c r="G13" s="471" t="s">
        <v>786</v>
      </c>
      <c r="M13" s="471">
        <v>1.0</v>
      </c>
      <c r="P13" s="472" t="s">
        <v>784</v>
      </c>
      <c r="V13" s="471" t="s">
        <v>787</v>
      </c>
      <c r="X13" s="80"/>
    </row>
    <row r="14" ht="15.75" customHeight="1">
      <c r="A14" s="470">
        <v>1.4</v>
      </c>
      <c r="B14" s="471" t="s">
        <v>298</v>
      </c>
      <c r="G14" s="471" t="s">
        <v>788</v>
      </c>
      <c r="M14" s="471" t="s">
        <v>789</v>
      </c>
      <c r="P14" s="472" t="s">
        <v>790</v>
      </c>
      <c r="V14" s="471" t="s">
        <v>791</v>
      </c>
      <c r="X14" s="80"/>
    </row>
    <row r="15" ht="15.75" customHeight="1">
      <c r="A15" s="470">
        <v>1.5</v>
      </c>
      <c r="B15" s="471" t="s">
        <v>728</v>
      </c>
      <c r="G15" s="471" t="s">
        <v>792</v>
      </c>
      <c r="M15" s="471" t="s">
        <v>793</v>
      </c>
      <c r="P15" s="472" t="s">
        <v>730</v>
      </c>
      <c r="V15" s="471" t="s">
        <v>794</v>
      </c>
      <c r="X15" s="80"/>
    </row>
    <row r="16" ht="15.75" customHeight="1">
      <c r="A16" s="179" t="s">
        <v>180</v>
      </c>
      <c r="B16" s="50"/>
      <c r="C16" s="50"/>
      <c r="D16" s="50"/>
      <c r="E16" s="50"/>
      <c r="F16" s="50"/>
      <c r="G16" s="50"/>
      <c r="H16" s="50"/>
      <c r="I16" s="50"/>
      <c r="J16" s="50"/>
      <c r="K16" s="50"/>
      <c r="L16" s="50"/>
      <c r="M16" s="50"/>
      <c r="N16" s="50"/>
      <c r="O16" s="50"/>
      <c r="P16" s="50"/>
      <c r="Q16" s="50"/>
      <c r="R16" s="50"/>
      <c r="S16" s="50"/>
      <c r="T16" s="50"/>
      <c r="U16" s="50"/>
      <c r="V16" s="50"/>
      <c r="W16" s="50"/>
      <c r="X16" s="51"/>
    </row>
    <row r="17" ht="15.75" customHeight="1">
      <c r="A17" s="179" t="s">
        <v>795</v>
      </c>
      <c r="B17" s="50"/>
      <c r="C17" s="50"/>
      <c r="D17" s="50"/>
      <c r="E17" s="50"/>
      <c r="F17" s="50"/>
      <c r="G17" s="50"/>
      <c r="H17" s="50"/>
      <c r="I17" s="50"/>
      <c r="J17" s="50"/>
      <c r="K17" s="50"/>
      <c r="L17" s="50"/>
      <c r="M17" s="50"/>
      <c r="N17" s="50"/>
      <c r="O17" s="50"/>
      <c r="P17" s="50"/>
      <c r="Q17" s="50"/>
      <c r="R17" s="50"/>
      <c r="S17" s="50"/>
      <c r="T17" s="50"/>
      <c r="U17" s="50"/>
      <c r="V17" s="50"/>
      <c r="W17" s="50"/>
      <c r="X17" s="51"/>
    </row>
    <row r="18" ht="15.75" customHeight="1">
      <c r="A18" s="473" t="s">
        <v>112</v>
      </c>
      <c r="B18" s="189" t="s">
        <v>40</v>
      </c>
      <c r="C18" s="50"/>
      <c r="D18" s="50"/>
      <c r="E18" s="50"/>
      <c r="F18" s="50"/>
      <c r="G18" s="50"/>
      <c r="H18" s="51"/>
      <c r="I18" s="189" t="s">
        <v>796</v>
      </c>
      <c r="J18" s="50"/>
      <c r="K18" s="51"/>
      <c r="L18" s="189" t="s">
        <v>775</v>
      </c>
      <c r="M18" s="51"/>
      <c r="N18" s="189" t="s">
        <v>797</v>
      </c>
      <c r="O18" s="50"/>
      <c r="P18" s="50"/>
      <c r="Q18" s="50"/>
      <c r="R18" s="51"/>
      <c r="S18" s="189" t="s">
        <v>798</v>
      </c>
      <c r="T18" s="50"/>
      <c r="U18" s="50"/>
      <c r="V18" s="50"/>
      <c r="W18" s="50"/>
      <c r="X18" s="51"/>
    </row>
    <row r="19" ht="15.75" customHeight="1">
      <c r="A19" s="127">
        <v>2.1</v>
      </c>
      <c r="B19" s="474" t="s">
        <v>799</v>
      </c>
      <c r="C19" s="9"/>
      <c r="D19" s="9"/>
      <c r="E19" s="9"/>
      <c r="F19" s="9"/>
      <c r="G19" s="9"/>
      <c r="H19" s="9"/>
      <c r="I19" s="474">
        <v>150.0</v>
      </c>
      <c r="J19" s="9"/>
      <c r="K19" s="9"/>
      <c r="L19" s="474">
        <v>32.0</v>
      </c>
      <c r="M19" s="9"/>
      <c r="N19" s="474">
        <f>I19*L19</f>
        <v>4800</v>
      </c>
      <c r="O19" s="9"/>
      <c r="P19" s="9"/>
      <c r="Q19" s="9"/>
      <c r="R19" s="9"/>
      <c r="S19" s="474" t="s">
        <v>800</v>
      </c>
      <c r="T19" s="9"/>
      <c r="U19" s="9"/>
      <c r="V19" s="9"/>
      <c r="W19" s="9"/>
      <c r="X19" s="10"/>
    </row>
    <row r="20" ht="15.75" customHeight="1">
      <c r="A20" s="470">
        <v>2.2</v>
      </c>
      <c r="B20" s="475" t="s">
        <v>801</v>
      </c>
      <c r="I20" s="476">
        <v>0.05</v>
      </c>
      <c r="L20" s="471">
        <v>1.0</v>
      </c>
      <c r="N20" s="471">
        <f>I20*N19</f>
        <v>240</v>
      </c>
      <c r="S20" s="475" t="s">
        <v>802</v>
      </c>
      <c r="X20" s="80"/>
    </row>
    <row r="21" ht="15.75" customHeight="1">
      <c r="A21" s="470">
        <v>2.3</v>
      </c>
      <c r="B21" s="471" t="s">
        <v>803</v>
      </c>
      <c r="I21" s="476">
        <v>0.25</v>
      </c>
      <c r="L21" s="471">
        <v>1.0</v>
      </c>
      <c r="N21" s="471">
        <f>I21*N19</f>
        <v>1200</v>
      </c>
      <c r="S21" s="471" t="s">
        <v>804</v>
      </c>
      <c r="X21" s="80"/>
    </row>
    <row r="22" ht="15.75" customHeight="1">
      <c r="A22" s="178">
        <v>2.4</v>
      </c>
      <c r="B22" s="477" t="s">
        <v>805</v>
      </c>
      <c r="C22" s="81"/>
      <c r="D22" s="81"/>
      <c r="E22" s="81"/>
      <c r="F22" s="81"/>
      <c r="G22" s="81"/>
      <c r="H22" s="81"/>
      <c r="I22" s="478">
        <v>0.08</v>
      </c>
      <c r="J22" s="81"/>
      <c r="K22" s="81"/>
      <c r="L22" s="477">
        <v>1.0</v>
      </c>
      <c r="M22" s="81"/>
      <c r="N22" s="477">
        <f>I22*N19</f>
        <v>384</v>
      </c>
      <c r="O22" s="81"/>
      <c r="P22" s="81"/>
      <c r="Q22" s="81"/>
      <c r="R22" s="81"/>
      <c r="S22" s="477" t="s">
        <v>806</v>
      </c>
      <c r="T22" s="81"/>
      <c r="U22" s="81"/>
      <c r="V22" s="81"/>
      <c r="W22" s="81"/>
      <c r="X22" s="82"/>
    </row>
    <row r="23" ht="15.75" customHeight="1">
      <c r="A23" s="479" t="s">
        <v>807</v>
      </c>
      <c r="B23" s="50"/>
      <c r="C23" s="50"/>
      <c r="D23" s="50"/>
      <c r="E23" s="50"/>
      <c r="F23" s="50"/>
      <c r="G23" s="50"/>
      <c r="H23" s="50"/>
      <c r="I23" s="50"/>
      <c r="J23" s="50"/>
      <c r="K23" s="50"/>
      <c r="L23" s="50"/>
      <c r="M23" s="51"/>
      <c r="N23" s="480">
        <f>SUM(N19:N22)</f>
        <v>6624</v>
      </c>
      <c r="O23" s="50"/>
      <c r="P23" s="50"/>
      <c r="Q23" s="50"/>
      <c r="R23" s="51"/>
      <c r="S23" s="189" t="s">
        <v>180</v>
      </c>
      <c r="T23" s="50"/>
      <c r="U23" s="50"/>
      <c r="V23" s="50"/>
      <c r="W23" s="50"/>
      <c r="X23" s="51"/>
    </row>
    <row r="24" ht="15.75" customHeight="1">
      <c r="A24" s="189" t="s">
        <v>180</v>
      </c>
      <c r="B24" s="50"/>
      <c r="C24" s="50"/>
      <c r="D24" s="50"/>
      <c r="E24" s="50"/>
      <c r="F24" s="50"/>
      <c r="G24" s="50"/>
      <c r="H24" s="50"/>
      <c r="I24" s="50"/>
      <c r="J24" s="50"/>
      <c r="K24" s="50"/>
      <c r="L24" s="50"/>
      <c r="M24" s="50"/>
      <c r="N24" s="50"/>
      <c r="O24" s="50"/>
      <c r="P24" s="50"/>
      <c r="Q24" s="50"/>
      <c r="R24" s="50"/>
      <c r="S24" s="50"/>
      <c r="T24" s="50"/>
      <c r="U24" s="50"/>
      <c r="V24" s="50"/>
      <c r="W24" s="50"/>
      <c r="X24" s="51"/>
    </row>
    <row r="25" ht="15.75" customHeight="1">
      <c r="A25" s="179" t="s">
        <v>808</v>
      </c>
      <c r="B25" s="50"/>
      <c r="C25" s="50"/>
      <c r="D25" s="50"/>
      <c r="E25" s="50"/>
      <c r="F25" s="50"/>
      <c r="G25" s="50"/>
      <c r="H25" s="50"/>
      <c r="I25" s="50"/>
      <c r="J25" s="50"/>
      <c r="K25" s="50"/>
      <c r="L25" s="50"/>
      <c r="M25" s="50"/>
      <c r="N25" s="50"/>
      <c r="O25" s="50"/>
      <c r="P25" s="50"/>
      <c r="Q25" s="50"/>
      <c r="R25" s="50"/>
      <c r="S25" s="50"/>
      <c r="T25" s="50"/>
      <c r="U25" s="50"/>
      <c r="V25" s="50"/>
      <c r="W25" s="50"/>
      <c r="X25" s="51"/>
    </row>
    <row r="26" ht="15.75" customHeight="1">
      <c r="A26" s="481" t="s">
        <v>112</v>
      </c>
      <c r="B26" s="189" t="s">
        <v>809</v>
      </c>
      <c r="C26" s="50"/>
      <c r="D26" s="50"/>
      <c r="E26" s="50"/>
      <c r="F26" s="50"/>
      <c r="G26" s="50"/>
      <c r="H26" s="50"/>
      <c r="I26" s="50"/>
      <c r="J26" s="50"/>
      <c r="K26" s="50"/>
      <c r="L26" s="50"/>
      <c r="M26" s="50"/>
      <c r="N26" s="50"/>
      <c r="O26" s="50"/>
      <c r="P26" s="50"/>
      <c r="Q26" s="50"/>
      <c r="R26" s="50"/>
      <c r="S26" s="50"/>
      <c r="T26" s="50"/>
      <c r="U26" s="50"/>
      <c r="V26" s="50"/>
      <c r="W26" s="50"/>
      <c r="X26" s="51"/>
    </row>
    <row r="27" ht="15.75" customHeight="1">
      <c r="A27" s="482">
        <v>1.0</v>
      </c>
      <c r="B27" s="474" t="s">
        <v>810</v>
      </c>
      <c r="C27" s="9"/>
      <c r="D27" s="9"/>
      <c r="E27" s="9"/>
      <c r="F27" s="9"/>
      <c r="G27" s="9"/>
      <c r="H27" s="9"/>
      <c r="I27" s="9"/>
      <c r="J27" s="9"/>
      <c r="K27" s="9"/>
      <c r="L27" s="9"/>
      <c r="M27" s="9"/>
      <c r="N27" s="9"/>
      <c r="O27" s="9"/>
      <c r="P27" s="9"/>
      <c r="Q27" s="9"/>
      <c r="R27" s="9"/>
      <c r="S27" s="9"/>
      <c r="T27" s="9"/>
      <c r="U27" s="9"/>
      <c r="V27" s="9"/>
      <c r="W27" s="9"/>
      <c r="X27" s="10"/>
    </row>
    <row r="28" ht="15.75" customHeight="1">
      <c r="A28" s="483">
        <v>2.0</v>
      </c>
      <c r="B28" s="471" t="s">
        <v>811</v>
      </c>
      <c r="X28" s="80"/>
    </row>
    <row r="29" ht="15.75" customHeight="1">
      <c r="A29" s="483">
        <v>3.0</v>
      </c>
      <c r="B29" s="471" t="s">
        <v>812</v>
      </c>
      <c r="X29" s="80"/>
    </row>
    <row r="30" ht="15.75" customHeight="1">
      <c r="A30" s="484">
        <v>4.0</v>
      </c>
      <c r="B30" s="83" t="s">
        <v>813</v>
      </c>
      <c r="X30" s="80"/>
    </row>
    <row r="31" ht="15.75" customHeight="1">
      <c r="A31" s="484">
        <v>5.0</v>
      </c>
      <c r="B31" s="83" t="s">
        <v>814</v>
      </c>
      <c r="X31" s="80"/>
    </row>
    <row r="32" ht="15.75" customHeight="1">
      <c r="A32" s="485"/>
      <c r="B32" s="298"/>
      <c r="C32" s="81"/>
      <c r="D32" s="81"/>
      <c r="E32" s="81"/>
      <c r="F32" s="81"/>
      <c r="G32" s="81"/>
      <c r="H32" s="81"/>
      <c r="I32" s="81"/>
      <c r="J32" s="81"/>
      <c r="K32" s="81"/>
      <c r="L32" s="81"/>
      <c r="M32" s="81"/>
      <c r="N32" s="81"/>
      <c r="O32" s="81"/>
      <c r="P32" s="81"/>
      <c r="Q32" s="81"/>
      <c r="R32" s="81"/>
      <c r="S32" s="81"/>
      <c r="T32" s="81"/>
      <c r="U32" s="81"/>
      <c r="V32" s="81"/>
      <c r="W32" s="81"/>
      <c r="X32" s="82"/>
    </row>
    <row r="33" ht="15.75" customHeight="1">
      <c r="A33" s="83"/>
      <c r="B33" s="83"/>
      <c r="C33" s="83"/>
      <c r="D33" s="83"/>
      <c r="E33" s="83"/>
      <c r="F33" s="83"/>
      <c r="G33" s="83"/>
      <c r="H33" s="83"/>
      <c r="I33" s="83"/>
      <c r="J33" s="83"/>
      <c r="K33" s="83"/>
      <c r="L33" s="83"/>
      <c r="M33" s="83"/>
      <c r="N33" s="83"/>
      <c r="O33" s="83"/>
      <c r="P33" s="83"/>
      <c r="Q33" s="83"/>
      <c r="R33" s="83"/>
      <c r="S33" s="83"/>
      <c r="T33" s="83"/>
      <c r="U33" s="83"/>
      <c r="V33" s="83"/>
      <c r="W33" s="83"/>
      <c r="X33" s="83"/>
    </row>
    <row r="34" ht="15.7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row>
    <row r="35" ht="15.75" customHeight="1">
      <c r="A35" s="83"/>
      <c r="B35" s="83"/>
      <c r="C35" s="83"/>
      <c r="D35" s="83"/>
      <c r="E35" s="83"/>
      <c r="F35" s="83"/>
      <c r="G35" s="83"/>
      <c r="H35" s="83"/>
      <c r="I35" s="83"/>
      <c r="J35" s="83"/>
      <c r="K35" s="83"/>
      <c r="L35" s="83"/>
      <c r="M35" s="83"/>
      <c r="N35" s="83"/>
      <c r="O35" s="83"/>
      <c r="P35" s="83"/>
      <c r="Q35" s="83"/>
      <c r="R35" s="83"/>
      <c r="S35" s="83"/>
      <c r="T35" s="83"/>
      <c r="U35" s="83"/>
      <c r="V35" s="83"/>
      <c r="W35" s="83"/>
      <c r="X35" s="83"/>
    </row>
    <row r="36" ht="15.75" customHeight="1">
      <c r="A36" s="83"/>
      <c r="B36" s="83"/>
      <c r="C36" s="83"/>
      <c r="D36" s="83"/>
      <c r="E36" s="83"/>
      <c r="F36" s="83"/>
      <c r="G36" s="83"/>
      <c r="H36" s="83"/>
      <c r="I36" s="83"/>
      <c r="J36" s="83"/>
      <c r="K36" s="83"/>
      <c r="L36" s="83"/>
      <c r="M36" s="83"/>
      <c r="N36" s="83"/>
      <c r="O36" s="83"/>
      <c r="P36" s="83"/>
      <c r="Q36" s="83"/>
      <c r="R36" s="83"/>
      <c r="S36" s="83"/>
      <c r="T36" s="83"/>
      <c r="U36" s="83"/>
      <c r="V36" s="83"/>
      <c r="W36" s="83"/>
      <c r="X36" s="83"/>
    </row>
    <row r="37" ht="15.75" customHeight="1">
      <c r="A37" s="83"/>
      <c r="B37" s="83"/>
      <c r="C37" s="83"/>
      <c r="D37" s="83"/>
      <c r="E37" s="83"/>
      <c r="F37" s="83"/>
      <c r="G37" s="83"/>
      <c r="H37" s="83"/>
      <c r="I37" s="83"/>
      <c r="J37" s="83"/>
      <c r="K37" s="83"/>
      <c r="L37" s="83"/>
      <c r="M37" s="83"/>
      <c r="N37" s="83"/>
      <c r="O37" s="83"/>
      <c r="P37" s="83"/>
      <c r="Q37" s="83"/>
      <c r="R37" s="83"/>
      <c r="S37" s="83"/>
      <c r="T37" s="83"/>
      <c r="U37" s="83"/>
      <c r="V37" s="83"/>
      <c r="W37" s="83"/>
      <c r="X37" s="83"/>
    </row>
    <row r="38" ht="15.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row>
    <row r="39" ht="15.75" customHeight="1">
      <c r="A39" s="83"/>
      <c r="B39" s="83"/>
      <c r="C39" s="83"/>
      <c r="D39" s="83"/>
      <c r="E39" s="83"/>
      <c r="F39" s="83"/>
      <c r="G39" s="83"/>
      <c r="H39" s="83"/>
      <c r="I39" s="83"/>
      <c r="J39" s="83"/>
      <c r="K39" s="83"/>
      <c r="L39" s="83"/>
      <c r="M39" s="83"/>
      <c r="N39" s="83"/>
      <c r="O39" s="83"/>
      <c r="P39" s="83"/>
      <c r="Q39" s="83"/>
      <c r="R39" s="83"/>
      <c r="S39" s="83"/>
      <c r="T39" s="83"/>
      <c r="U39" s="83"/>
      <c r="V39" s="83"/>
      <c r="W39" s="83"/>
      <c r="X39" s="83"/>
    </row>
    <row r="40" ht="15.75" customHeight="1">
      <c r="A40" s="83"/>
      <c r="B40" s="83"/>
      <c r="C40" s="83"/>
      <c r="D40" s="83"/>
      <c r="E40" s="83"/>
      <c r="F40" s="83"/>
      <c r="G40" s="83"/>
      <c r="H40" s="83"/>
      <c r="I40" s="83"/>
      <c r="J40" s="83"/>
      <c r="K40" s="83"/>
      <c r="L40" s="83"/>
      <c r="M40" s="83"/>
      <c r="N40" s="83"/>
      <c r="O40" s="83"/>
      <c r="P40" s="83"/>
      <c r="Q40" s="83"/>
      <c r="R40" s="83"/>
      <c r="S40" s="83"/>
      <c r="T40" s="83"/>
      <c r="U40" s="83"/>
      <c r="V40" s="83"/>
      <c r="W40" s="83"/>
      <c r="X40" s="83"/>
    </row>
    <row r="41" ht="15.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row>
    <row r="42" ht="15.75" customHeight="1">
      <c r="A42" s="83"/>
      <c r="B42" s="83"/>
      <c r="C42" s="83"/>
      <c r="D42" s="83"/>
      <c r="E42" s="83"/>
      <c r="F42" s="83"/>
      <c r="G42" s="83"/>
      <c r="H42" s="83"/>
      <c r="I42" s="83"/>
      <c r="J42" s="83"/>
      <c r="K42" s="83"/>
      <c r="L42" s="83"/>
      <c r="M42" s="83"/>
      <c r="N42" s="83"/>
      <c r="O42" s="83"/>
      <c r="P42" s="83"/>
      <c r="Q42" s="83"/>
      <c r="R42" s="83"/>
      <c r="S42" s="83"/>
      <c r="T42" s="83"/>
      <c r="U42" s="83"/>
      <c r="V42" s="83"/>
      <c r="W42" s="83"/>
      <c r="X42" s="83"/>
    </row>
    <row r="43" ht="15.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row>
    <row r="44" ht="15.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row>
    <row r="45" ht="15.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row>
    <row r="46" ht="15.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row>
    <row r="47" ht="15.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row>
    <row r="48" ht="15.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row>
    <row r="49" ht="15.75" customHeight="1">
      <c r="A49" s="83"/>
      <c r="B49" s="83"/>
      <c r="C49" s="83"/>
      <c r="D49" s="83"/>
      <c r="E49" s="83"/>
      <c r="F49" s="83"/>
      <c r="G49" s="83"/>
      <c r="H49" s="83"/>
      <c r="I49" s="83"/>
      <c r="J49" s="83"/>
      <c r="K49" s="83"/>
      <c r="L49" s="83"/>
      <c r="M49" s="83"/>
      <c r="N49" s="83"/>
      <c r="O49" s="83"/>
      <c r="P49" s="83"/>
      <c r="Q49" s="83"/>
      <c r="R49" s="83"/>
      <c r="S49" s="83"/>
      <c r="T49" s="83"/>
      <c r="U49" s="83"/>
      <c r="V49" s="83"/>
      <c r="W49" s="83"/>
      <c r="X49" s="8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29">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M10:O10"/>
    <mergeCell ref="P10:U10"/>
    <mergeCell ref="E5:F5"/>
    <mergeCell ref="G5:H5"/>
    <mergeCell ref="A7:X7"/>
    <mergeCell ref="A8:X8"/>
    <mergeCell ref="A9:X9"/>
    <mergeCell ref="G10:L10"/>
    <mergeCell ref="V10:X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G12:L12"/>
    <mergeCell ref="M12:O12"/>
    <mergeCell ref="N18:R18"/>
    <mergeCell ref="S18:X18"/>
    <mergeCell ref="S19:X19"/>
    <mergeCell ref="I18:K18"/>
    <mergeCell ref="L18:M18"/>
    <mergeCell ref="B19:H19"/>
    <mergeCell ref="I19:K19"/>
    <mergeCell ref="L19:M19"/>
    <mergeCell ref="N19:R19"/>
    <mergeCell ref="N20:R20"/>
    <mergeCell ref="I20:K20"/>
    <mergeCell ref="L20:M20"/>
    <mergeCell ref="S20:X20"/>
    <mergeCell ref="B20:H20"/>
    <mergeCell ref="B21:H21"/>
    <mergeCell ref="I21:K21"/>
    <mergeCell ref="L21:M21"/>
    <mergeCell ref="N21:R21"/>
    <mergeCell ref="S21:X21"/>
    <mergeCell ref="B22:H22"/>
    <mergeCell ref="P12:U12"/>
    <mergeCell ref="V12:X12"/>
    <mergeCell ref="B10:F10"/>
    <mergeCell ref="B11:F11"/>
    <mergeCell ref="G11:L11"/>
    <mergeCell ref="M11:O11"/>
    <mergeCell ref="P11:U11"/>
    <mergeCell ref="V11:X11"/>
    <mergeCell ref="B12:F12"/>
    <mergeCell ref="M14:O14"/>
    <mergeCell ref="P14:U14"/>
    <mergeCell ref="P15:U15"/>
    <mergeCell ref="V15:X15"/>
    <mergeCell ref="B13:F13"/>
    <mergeCell ref="G13:L13"/>
    <mergeCell ref="M13:O13"/>
    <mergeCell ref="P13:U13"/>
    <mergeCell ref="V13:X13"/>
    <mergeCell ref="G14:L14"/>
    <mergeCell ref="V14:X14"/>
    <mergeCell ref="B14:F14"/>
    <mergeCell ref="B15:F15"/>
    <mergeCell ref="G15:L15"/>
    <mergeCell ref="M15:O15"/>
    <mergeCell ref="A16:X16"/>
    <mergeCell ref="A17:X17"/>
    <mergeCell ref="B18:H18"/>
    <mergeCell ref="N22:R22"/>
    <mergeCell ref="S22:X22"/>
    <mergeCell ref="S23:X23"/>
    <mergeCell ref="B27:X27"/>
    <mergeCell ref="B28:X28"/>
    <mergeCell ref="B29:X29"/>
    <mergeCell ref="B30:X30"/>
    <mergeCell ref="B31:X31"/>
    <mergeCell ref="B32:X32"/>
    <mergeCell ref="I22:K22"/>
    <mergeCell ref="L22:M22"/>
    <mergeCell ref="A23:M23"/>
    <mergeCell ref="N23:R23"/>
    <mergeCell ref="A24:X24"/>
    <mergeCell ref="A25:X25"/>
    <mergeCell ref="B26:X2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4" width="6.0"/>
  </cols>
  <sheetData>
    <row r="1" ht="15.75" customHeight="1">
      <c r="A1" s="1" t="s">
        <v>0</v>
      </c>
      <c r="B1" s="2"/>
      <c r="C1" s="3"/>
      <c r="D1" s="2"/>
      <c r="E1" s="4" t="s">
        <v>1</v>
      </c>
      <c r="F1" s="2"/>
      <c r="G1" s="3" t="s">
        <v>46</v>
      </c>
      <c r="H1" s="2"/>
      <c r="I1" s="4" t="s">
        <v>2</v>
      </c>
      <c r="J1" s="2"/>
      <c r="K1" s="5"/>
      <c r="L1" s="2"/>
      <c r="M1" s="6" t="s">
        <v>3</v>
      </c>
      <c r="N1" s="2"/>
      <c r="O1" s="7">
        <v>4.0</v>
      </c>
      <c r="P1" s="2"/>
      <c r="Q1" s="4" t="s">
        <v>4</v>
      </c>
      <c r="R1" s="2"/>
      <c r="S1" s="3" t="s">
        <v>105</v>
      </c>
      <c r="T1" s="2"/>
      <c r="U1" s="486"/>
      <c r="V1" s="9"/>
      <c r="W1" s="9"/>
      <c r="X1" s="10"/>
    </row>
    <row r="2" ht="15.75" customHeight="1">
      <c r="A2" s="11" t="s">
        <v>5</v>
      </c>
      <c r="B2" s="12"/>
      <c r="C2" s="13"/>
      <c r="D2" s="12"/>
      <c r="E2" s="14" t="s">
        <v>6</v>
      </c>
      <c r="F2" s="12"/>
      <c r="G2" s="13"/>
      <c r="H2" s="12"/>
      <c r="I2" s="14" t="s">
        <v>7</v>
      </c>
      <c r="J2" s="12"/>
      <c r="K2" s="15"/>
      <c r="L2" s="12"/>
      <c r="M2" s="16" t="s">
        <v>8</v>
      </c>
      <c r="N2" s="12"/>
      <c r="O2" s="13" t="s">
        <v>9</v>
      </c>
      <c r="P2" s="12"/>
      <c r="Q2" s="14" t="s">
        <v>10</v>
      </c>
      <c r="R2" s="12"/>
      <c r="S2" s="13" t="s">
        <v>310</v>
      </c>
      <c r="T2" s="12"/>
      <c r="U2" s="217"/>
      <c r="V2" s="218"/>
      <c r="W2" s="218"/>
      <c r="X2" s="241"/>
    </row>
    <row r="3" ht="15.75" customHeight="1">
      <c r="A3" s="11" t="s">
        <v>11</v>
      </c>
      <c r="B3" s="12"/>
      <c r="C3" s="13"/>
      <c r="D3" s="12"/>
      <c r="E3" s="14" t="s">
        <v>12</v>
      </c>
      <c r="F3" s="12"/>
      <c r="G3" s="13" t="s">
        <v>135</v>
      </c>
      <c r="H3" s="12"/>
      <c r="I3" s="14" t="s">
        <v>13</v>
      </c>
      <c r="J3" s="12"/>
      <c r="K3" s="20"/>
      <c r="L3" s="12"/>
      <c r="M3" s="16" t="s">
        <v>14</v>
      </c>
      <c r="N3" s="12"/>
      <c r="O3" s="13" t="s">
        <v>15</v>
      </c>
      <c r="P3" s="12"/>
      <c r="Q3" s="14" t="s">
        <v>16</v>
      </c>
      <c r="R3" s="12"/>
      <c r="S3" s="13" t="s">
        <v>359</v>
      </c>
      <c r="T3" s="12"/>
      <c r="U3" s="220" t="s">
        <v>17</v>
      </c>
      <c r="V3" s="18"/>
      <c r="W3" s="18"/>
      <c r="X3" s="19"/>
    </row>
    <row r="4" ht="15.75" customHeight="1">
      <c r="A4" s="11" t="s">
        <v>18</v>
      </c>
      <c r="B4" s="12"/>
      <c r="C4" s="13" t="s">
        <v>19</v>
      </c>
      <c r="D4" s="12"/>
      <c r="E4" s="14" t="s">
        <v>20</v>
      </c>
      <c r="F4" s="12"/>
      <c r="G4" s="13" t="s">
        <v>136</v>
      </c>
      <c r="H4" s="12"/>
      <c r="I4" s="14" t="s">
        <v>21</v>
      </c>
      <c r="J4" s="12"/>
      <c r="K4" s="24"/>
      <c r="L4" s="25"/>
      <c r="M4" s="26" t="s">
        <v>22</v>
      </c>
      <c r="N4" s="27"/>
      <c r="O4" s="28">
        <v>0.0</v>
      </c>
      <c r="P4" s="27"/>
      <c r="Q4" s="14" t="s">
        <v>23</v>
      </c>
      <c r="R4" s="12"/>
      <c r="S4" s="20"/>
      <c r="T4" s="12"/>
      <c r="U4" s="29" t="s">
        <v>24</v>
      </c>
      <c r="V4" s="22"/>
      <c r="W4" s="22"/>
      <c r="X4" s="23"/>
    </row>
    <row r="5" ht="15.75" customHeight="1">
      <c r="A5" s="30" t="s">
        <v>25</v>
      </c>
      <c r="B5" s="27"/>
      <c r="C5" s="31"/>
      <c r="D5" s="27"/>
      <c r="E5" s="14" t="s">
        <v>27</v>
      </c>
      <c r="F5" s="12"/>
      <c r="G5" s="13" t="s">
        <v>702</v>
      </c>
      <c r="H5" s="12"/>
      <c r="I5" s="14" t="s">
        <v>28</v>
      </c>
      <c r="J5" s="12"/>
      <c r="K5" s="32"/>
      <c r="L5" s="33"/>
      <c r="M5" s="34"/>
      <c r="N5" s="35"/>
      <c r="O5" s="34"/>
      <c r="P5" s="35"/>
      <c r="Q5" s="36" t="s">
        <v>29</v>
      </c>
      <c r="R5" s="27"/>
      <c r="S5" s="37"/>
      <c r="T5" s="27"/>
      <c r="U5" s="38" t="s">
        <v>30</v>
      </c>
      <c r="V5" s="22"/>
      <c r="W5" s="22"/>
      <c r="X5" s="23"/>
    </row>
    <row r="6" ht="15.75" customHeight="1">
      <c r="A6" s="39"/>
      <c r="B6" s="40"/>
      <c r="C6" s="41"/>
      <c r="D6" s="40"/>
      <c r="E6" s="42" t="s">
        <v>31</v>
      </c>
      <c r="F6" s="43"/>
      <c r="G6" s="44" t="s">
        <v>137</v>
      </c>
      <c r="H6" s="43"/>
      <c r="I6" s="42" t="s">
        <v>32</v>
      </c>
      <c r="J6" s="43"/>
      <c r="K6" s="45"/>
      <c r="L6" s="43"/>
      <c r="M6" s="41"/>
      <c r="N6" s="40"/>
      <c r="O6" s="41"/>
      <c r="P6" s="40"/>
      <c r="Q6" s="41"/>
      <c r="R6" s="40"/>
      <c r="S6" s="41"/>
      <c r="T6" s="40"/>
      <c r="U6" s="46" t="s">
        <v>33</v>
      </c>
      <c r="V6" s="47"/>
      <c r="W6" s="47"/>
      <c r="X6" s="48"/>
    </row>
    <row r="7" ht="15.75" customHeight="1">
      <c r="A7" s="234" t="s">
        <v>311</v>
      </c>
      <c r="B7" s="81"/>
      <c r="C7" s="81"/>
      <c r="D7" s="81"/>
      <c r="E7" s="81"/>
      <c r="F7" s="81"/>
      <c r="G7" s="81"/>
      <c r="H7" s="81"/>
      <c r="I7" s="81"/>
      <c r="J7" s="81"/>
      <c r="K7" s="81"/>
      <c r="L7" s="81"/>
      <c r="M7" s="81"/>
      <c r="N7" s="81"/>
      <c r="O7" s="81"/>
      <c r="P7" s="81"/>
      <c r="Q7" s="81"/>
      <c r="R7" s="81"/>
      <c r="S7" s="81"/>
      <c r="T7" s="81"/>
      <c r="U7" s="81"/>
      <c r="V7" s="81"/>
      <c r="W7" s="81"/>
      <c r="X7" s="82"/>
    </row>
    <row r="8" ht="15.75" customHeight="1">
      <c r="A8" s="49" t="s">
        <v>815</v>
      </c>
      <c r="B8" s="50"/>
      <c r="C8" s="50"/>
      <c r="D8" s="50"/>
      <c r="E8" s="50"/>
      <c r="F8" s="50"/>
      <c r="G8" s="50"/>
      <c r="H8" s="50"/>
      <c r="I8" s="50"/>
      <c r="J8" s="50"/>
      <c r="K8" s="50"/>
      <c r="L8" s="50"/>
      <c r="M8" s="50"/>
      <c r="N8" s="50"/>
      <c r="O8" s="50"/>
      <c r="P8" s="50"/>
      <c r="Q8" s="50"/>
      <c r="R8" s="50"/>
      <c r="S8" s="50"/>
      <c r="T8" s="50"/>
      <c r="U8" s="50"/>
      <c r="V8" s="50"/>
      <c r="W8" s="50"/>
      <c r="X8" s="51"/>
    </row>
    <row r="9" ht="15.75" customHeight="1">
      <c r="A9" s="49" t="s">
        <v>816</v>
      </c>
      <c r="B9" s="50"/>
      <c r="C9" s="50"/>
      <c r="D9" s="50"/>
      <c r="E9" s="50"/>
      <c r="F9" s="50"/>
      <c r="G9" s="50"/>
      <c r="H9" s="50"/>
      <c r="I9" s="50"/>
      <c r="J9" s="50"/>
      <c r="K9" s="50"/>
      <c r="L9" s="50"/>
      <c r="M9" s="50"/>
      <c r="N9" s="50"/>
      <c r="O9" s="50"/>
      <c r="P9" s="50"/>
      <c r="Q9" s="50"/>
      <c r="R9" s="50"/>
      <c r="S9" s="50"/>
      <c r="T9" s="50"/>
      <c r="U9" s="50"/>
      <c r="V9" s="50"/>
      <c r="W9" s="50"/>
      <c r="X9" s="51"/>
    </row>
    <row r="10" ht="15.75" customHeight="1">
      <c r="A10" s="235" t="s">
        <v>362</v>
      </c>
      <c r="B10" s="50"/>
      <c r="C10" s="50"/>
      <c r="D10" s="50"/>
      <c r="E10" s="51"/>
      <c r="F10" s="49" t="s">
        <v>507</v>
      </c>
      <c r="G10" s="50"/>
      <c r="H10" s="50"/>
      <c r="I10" s="50"/>
      <c r="J10" s="50"/>
      <c r="K10" s="50"/>
      <c r="L10" s="50"/>
      <c r="M10" s="50"/>
      <c r="N10" s="50"/>
      <c r="O10" s="50"/>
      <c r="P10" s="50"/>
      <c r="Q10" s="53" t="s">
        <v>817</v>
      </c>
      <c r="R10" s="50"/>
      <c r="S10" s="50"/>
      <c r="T10" s="51"/>
      <c r="U10" s="300" t="s">
        <v>818</v>
      </c>
      <c r="V10" s="50"/>
      <c r="W10" s="50"/>
      <c r="X10" s="51"/>
    </row>
    <row r="11" ht="15.75" customHeight="1">
      <c r="A11" s="281" t="s">
        <v>819</v>
      </c>
      <c r="B11" s="9"/>
      <c r="C11" s="9"/>
      <c r="D11" s="9"/>
      <c r="E11" s="10"/>
      <c r="F11" s="77" t="s">
        <v>820</v>
      </c>
      <c r="G11" s="9"/>
      <c r="H11" s="9"/>
      <c r="I11" s="9"/>
      <c r="J11" s="9"/>
      <c r="K11" s="9"/>
      <c r="L11" s="9"/>
      <c r="M11" s="9"/>
      <c r="N11" s="9"/>
      <c r="O11" s="9"/>
      <c r="P11" s="9"/>
      <c r="Q11" s="53" t="s">
        <v>821</v>
      </c>
      <c r="R11" s="50"/>
      <c r="S11" s="50"/>
      <c r="T11" s="51"/>
      <c r="U11" s="299" t="s">
        <v>820</v>
      </c>
      <c r="V11" s="9"/>
      <c r="W11" s="9"/>
      <c r="X11" s="10"/>
    </row>
    <row r="12" ht="15.75" customHeight="1">
      <c r="A12" s="282" t="s">
        <v>512</v>
      </c>
      <c r="B12" s="278"/>
      <c r="C12" s="278"/>
      <c r="D12" s="278"/>
      <c r="E12" s="279"/>
      <c r="F12" s="487" t="s">
        <v>820</v>
      </c>
      <c r="G12" s="278"/>
      <c r="H12" s="278"/>
      <c r="I12" s="278"/>
      <c r="J12" s="278"/>
      <c r="K12" s="278"/>
      <c r="L12" s="278"/>
      <c r="M12" s="278"/>
      <c r="N12" s="278"/>
      <c r="O12" s="278"/>
      <c r="P12" s="278"/>
      <c r="Q12" s="156" t="s">
        <v>822</v>
      </c>
      <c r="R12" s="50"/>
      <c r="S12" s="50"/>
      <c r="T12" s="51"/>
      <c r="U12" s="301" t="s">
        <v>823</v>
      </c>
      <c r="V12" s="278"/>
      <c r="W12" s="278"/>
      <c r="X12" s="279"/>
    </row>
    <row r="13" ht="15.75" customHeight="1">
      <c r="A13" s="282" t="s">
        <v>545</v>
      </c>
      <c r="B13" s="278"/>
      <c r="C13" s="278"/>
      <c r="D13" s="278"/>
      <c r="E13" s="279"/>
      <c r="F13" s="282"/>
      <c r="G13" s="278"/>
      <c r="H13" s="278"/>
      <c r="I13" s="278"/>
      <c r="J13" s="278"/>
      <c r="K13" s="278"/>
      <c r="L13" s="278"/>
      <c r="M13" s="278"/>
      <c r="N13" s="278"/>
      <c r="O13" s="278"/>
      <c r="P13" s="278"/>
      <c r="Q13" s="278"/>
      <c r="R13" s="278"/>
      <c r="S13" s="278"/>
      <c r="T13" s="278"/>
      <c r="U13" s="278"/>
      <c r="V13" s="278"/>
      <c r="W13" s="278"/>
      <c r="X13" s="279"/>
    </row>
    <row r="14" ht="15.75" customHeight="1">
      <c r="A14" s="283"/>
      <c r="B14" s="81"/>
      <c r="C14" s="81"/>
      <c r="D14" s="81"/>
      <c r="E14" s="81"/>
      <c r="F14" s="81"/>
      <c r="G14" s="81"/>
      <c r="H14" s="81"/>
      <c r="I14" s="81"/>
      <c r="J14" s="81"/>
      <c r="K14" s="81"/>
      <c r="L14" s="81"/>
      <c r="M14" s="81"/>
      <c r="N14" s="81"/>
      <c r="O14" s="81"/>
      <c r="P14" s="81"/>
      <c r="Q14" s="81"/>
      <c r="R14" s="81"/>
      <c r="S14" s="81"/>
      <c r="T14" s="81"/>
      <c r="U14" s="81"/>
      <c r="V14" s="81"/>
      <c r="W14" s="81"/>
      <c r="X14" s="82"/>
    </row>
    <row r="15" ht="15.75" customHeight="1">
      <c r="A15" s="49"/>
      <c r="B15" s="50"/>
      <c r="C15" s="50"/>
      <c r="D15" s="50"/>
      <c r="E15" s="50"/>
      <c r="F15" s="50"/>
      <c r="G15" s="50"/>
      <c r="H15" s="50"/>
      <c r="I15" s="50"/>
      <c r="J15" s="50"/>
      <c r="K15" s="50"/>
      <c r="L15" s="50"/>
      <c r="M15" s="50"/>
      <c r="N15" s="50"/>
      <c r="O15" s="50"/>
      <c r="P15" s="50"/>
      <c r="Q15" s="50"/>
      <c r="R15" s="50"/>
      <c r="S15" s="50"/>
      <c r="T15" s="50"/>
      <c r="U15" s="50"/>
      <c r="V15" s="50"/>
      <c r="W15" s="50"/>
      <c r="X15" s="51"/>
    </row>
    <row r="16" ht="15.75" customHeight="1">
      <c r="A16" s="488" t="s">
        <v>824</v>
      </c>
      <c r="B16" s="50"/>
      <c r="C16" s="50"/>
      <c r="D16" s="50"/>
      <c r="E16" s="50"/>
      <c r="F16" s="50"/>
      <c r="G16" s="50"/>
      <c r="H16" s="50"/>
      <c r="I16" s="50"/>
      <c r="J16" s="50"/>
      <c r="K16" s="50"/>
      <c r="L16" s="50"/>
      <c r="M16" s="50"/>
      <c r="N16" s="50"/>
      <c r="O16" s="50"/>
      <c r="P16" s="50"/>
      <c r="Q16" s="50"/>
      <c r="R16" s="50"/>
      <c r="S16" s="50"/>
      <c r="T16" s="50"/>
      <c r="U16" s="50"/>
      <c r="V16" s="50"/>
      <c r="W16" s="50"/>
      <c r="X16" s="51"/>
    </row>
    <row r="17" ht="15.75" customHeight="1">
      <c r="A17" s="489" t="s">
        <v>825</v>
      </c>
      <c r="B17" s="50"/>
      <c r="C17" s="50"/>
      <c r="D17" s="51"/>
      <c r="E17" s="489" t="s">
        <v>826</v>
      </c>
      <c r="F17" s="50"/>
      <c r="G17" s="50"/>
      <c r="H17" s="50"/>
      <c r="I17" s="50"/>
      <c r="J17" s="50"/>
      <c r="K17" s="50"/>
      <c r="L17" s="51"/>
      <c r="M17" s="489" t="s">
        <v>827</v>
      </c>
      <c r="N17" s="50"/>
      <c r="O17" s="50"/>
      <c r="P17" s="51"/>
      <c r="Q17" s="489" t="s">
        <v>828</v>
      </c>
      <c r="R17" s="50"/>
      <c r="S17" s="50"/>
      <c r="T17" s="50"/>
      <c r="U17" s="50"/>
      <c r="V17" s="50"/>
      <c r="W17" s="50"/>
      <c r="X17" s="51"/>
    </row>
    <row r="18" ht="15.75" customHeight="1">
      <c r="A18" s="490" t="s">
        <v>829</v>
      </c>
      <c r="B18" s="218"/>
      <c r="C18" s="218"/>
      <c r="D18" s="491"/>
      <c r="E18" s="492" t="s">
        <v>830</v>
      </c>
      <c r="F18" s="218"/>
      <c r="G18" s="218"/>
      <c r="H18" s="218"/>
      <c r="I18" s="218"/>
      <c r="J18" s="218"/>
      <c r="K18" s="218"/>
      <c r="L18" s="218"/>
      <c r="M18" s="218"/>
      <c r="N18" s="218"/>
      <c r="O18" s="218"/>
      <c r="P18" s="218"/>
      <c r="Q18" s="218"/>
      <c r="R18" s="218"/>
      <c r="S18" s="218"/>
      <c r="T18" s="218"/>
      <c r="U18" s="218"/>
      <c r="V18" s="218"/>
      <c r="W18" s="218"/>
      <c r="X18" s="241"/>
    </row>
    <row r="19" ht="15.75" customHeight="1">
      <c r="A19" s="493" t="s">
        <v>831</v>
      </c>
      <c r="B19" s="251"/>
      <c r="C19" s="251"/>
      <c r="D19" s="494"/>
      <c r="E19" s="495" t="s">
        <v>832</v>
      </c>
      <c r="F19" s="251"/>
      <c r="G19" s="251"/>
      <c r="H19" s="251"/>
      <c r="I19" s="251"/>
      <c r="J19" s="251"/>
      <c r="K19" s="251"/>
      <c r="L19" s="251"/>
      <c r="M19" s="251"/>
      <c r="N19" s="251"/>
      <c r="O19" s="251"/>
      <c r="P19" s="251"/>
      <c r="Q19" s="251"/>
      <c r="R19" s="251"/>
      <c r="S19" s="251"/>
      <c r="T19" s="251"/>
      <c r="U19" s="251"/>
      <c r="V19" s="251"/>
      <c r="W19" s="251"/>
      <c r="X19" s="276"/>
    </row>
    <row r="20" ht="15.75" customHeight="1">
      <c r="A20" s="489" t="s">
        <v>180</v>
      </c>
      <c r="B20" s="50"/>
      <c r="C20" s="50"/>
      <c r="D20" s="50"/>
      <c r="E20" s="50"/>
      <c r="F20" s="50"/>
      <c r="G20" s="50"/>
      <c r="H20" s="50"/>
      <c r="I20" s="50"/>
      <c r="J20" s="50"/>
      <c r="K20" s="50"/>
      <c r="L20" s="50"/>
      <c r="M20" s="50"/>
      <c r="N20" s="50"/>
      <c r="O20" s="50"/>
      <c r="P20" s="50"/>
      <c r="Q20" s="50"/>
      <c r="R20" s="50"/>
      <c r="S20" s="50"/>
      <c r="T20" s="50"/>
      <c r="U20" s="50"/>
      <c r="V20" s="50"/>
      <c r="W20" s="50"/>
      <c r="X20" s="51"/>
    </row>
    <row r="21" ht="15.75" customHeight="1">
      <c r="A21" s="488" t="s">
        <v>833</v>
      </c>
      <c r="B21" s="50"/>
      <c r="C21" s="50"/>
      <c r="D21" s="50"/>
      <c r="E21" s="50"/>
      <c r="F21" s="50"/>
      <c r="G21" s="50"/>
      <c r="H21" s="50"/>
      <c r="I21" s="50"/>
      <c r="J21" s="50"/>
      <c r="K21" s="50"/>
      <c r="L21" s="50"/>
      <c r="M21" s="50"/>
      <c r="N21" s="50"/>
      <c r="O21" s="50"/>
      <c r="P21" s="50"/>
      <c r="Q21" s="50"/>
      <c r="R21" s="50"/>
      <c r="S21" s="50"/>
      <c r="T21" s="50"/>
      <c r="U21" s="50"/>
      <c r="V21" s="50"/>
      <c r="W21" s="50"/>
      <c r="X21" s="51"/>
    </row>
    <row r="22" ht="15.75" customHeight="1">
      <c r="A22" s="496" t="s">
        <v>112</v>
      </c>
      <c r="B22" s="489" t="s">
        <v>834</v>
      </c>
      <c r="C22" s="50"/>
      <c r="D22" s="50"/>
      <c r="E22" s="50"/>
      <c r="F22" s="50"/>
      <c r="G22" s="51"/>
      <c r="H22" s="489" t="s">
        <v>835</v>
      </c>
      <c r="I22" s="50"/>
      <c r="J22" s="50"/>
      <c r="K22" s="50"/>
      <c r="L22" s="50"/>
      <c r="M22" s="50"/>
      <c r="N22" s="50"/>
      <c r="O22" s="50"/>
      <c r="P22" s="50"/>
      <c r="Q22" s="50"/>
      <c r="R22" s="50"/>
      <c r="S22" s="51"/>
      <c r="T22" s="489" t="s">
        <v>836</v>
      </c>
      <c r="U22" s="50"/>
      <c r="V22" s="50"/>
      <c r="W22" s="50"/>
      <c r="X22" s="51"/>
    </row>
    <row r="23" ht="15.75" customHeight="1">
      <c r="A23" s="497">
        <v>3.1</v>
      </c>
      <c r="B23" s="498" t="s">
        <v>837</v>
      </c>
      <c r="C23" s="18"/>
      <c r="D23" s="18"/>
      <c r="E23" s="18"/>
      <c r="F23" s="18"/>
      <c r="G23" s="33"/>
      <c r="H23" s="498" t="s">
        <v>838</v>
      </c>
      <c r="I23" s="18"/>
      <c r="J23" s="18"/>
      <c r="K23" s="18"/>
      <c r="L23" s="18"/>
      <c r="M23" s="18"/>
      <c r="N23" s="18"/>
      <c r="O23" s="18"/>
      <c r="P23" s="18"/>
      <c r="Q23" s="18"/>
      <c r="R23" s="18"/>
      <c r="S23" s="33"/>
      <c r="T23" s="498" t="s">
        <v>839</v>
      </c>
      <c r="U23" s="18"/>
      <c r="V23" s="18"/>
      <c r="W23" s="18"/>
      <c r="X23" s="19"/>
    </row>
    <row r="24" ht="15.75" customHeight="1">
      <c r="A24" s="499">
        <v>3.2</v>
      </c>
      <c r="B24" s="500" t="s">
        <v>840</v>
      </c>
      <c r="C24" s="22"/>
      <c r="D24" s="22"/>
      <c r="E24" s="22"/>
      <c r="F24" s="22"/>
      <c r="G24" s="12"/>
      <c r="H24" s="500" t="s">
        <v>841</v>
      </c>
      <c r="I24" s="22"/>
      <c r="J24" s="22"/>
      <c r="K24" s="22"/>
      <c r="L24" s="22"/>
      <c r="M24" s="22"/>
      <c r="N24" s="22"/>
      <c r="O24" s="22"/>
      <c r="P24" s="22"/>
      <c r="Q24" s="22"/>
      <c r="R24" s="22"/>
      <c r="S24" s="12"/>
      <c r="T24" s="500" t="s">
        <v>842</v>
      </c>
      <c r="U24" s="22"/>
      <c r="V24" s="22"/>
      <c r="W24" s="22"/>
      <c r="X24" s="23"/>
    </row>
    <row r="25" ht="15.75" customHeight="1">
      <c r="A25" s="499">
        <v>3.3</v>
      </c>
      <c r="B25" s="500" t="s">
        <v>843</v>
      </c>
      <c r="C25" s="22"/>
      <c r="D25" s="22"/>
      <c r="E25" s="22"/>
      <c r="F25" s="22"/>
      <c r="G25" s="12"/>
      <c r="H25" s="500" t="s">
        <v>844</v>
      </c>
      <c r="I25" s="22"/>
      <c r="J25" s="22"/>
      <c r="K25" s="22"/>
      <c r="L25" s="22"/>
      <c r="M25" s="22"/>
      <c r="N25" s="22"/>
      <c r="O25" s="22"/>
      <c r="P25" s="22"/>
      <c r="Q25" s="22"/>
      <c r="R25" s="22"/>
      <c r="S25" s="12"/>
      <c r="T25" s="500" t="s">
        <v>823</v>
      </c>
      <c r="U25" s="22"/>
      <c r="V25" s="22"/>
      <c r="W25" s="22"/>
      <c r="X25" s="23"/>
    </row>
    <row r="26" ht="15.75" customHeight="1">
      <c r="A26" s="501">
        <v>3.4</v>
      </c>
      <c r="B26" s="502" t="s">
        <v>574</v>
      </c>
      <c r="C26" s="47"/>
      <c r="D26" s="47"/>
      <c r="E26" s="47"/>
      <c r="F26" s="47"/>
      <c r="G26" s="43"/>
      <c r="H26" s="502" t="s">
        <v>574</v>
      </c>
      <c r="I26" s="47"/>
      <c r="J26" s="47"/>
      <c r="K26" s="47"/>
      <c r="L26" s="47"/>
      <c r="M26" s="47"/>
      <c r="N26" s="47"/>
      <c r="O26" s="47"/>
      <c r="P26" s="47"/>
      <c r="Q26" s="47"/>
      <c r="R26" s="47"/>
      <c r="S26" s="43"/>
      <c r="T26" s="502" t="s">
        <v>574</v>
      </c>
      <c r="U26" s="47"/>
      <c r="V26" s="47"/>
      <c r="W26" s="47"/>
      <c r="X26" s="48"/>
    </row>
    <row r="27" ht="15.75" customHeight="1">
      <c r="A27" s="489" t="s">
        <v>180</v>
      </c>
      <c r="B27" s="50"/>
      <c r="C27" s="50"/>
      <c r="D27" s="50"/>
      <c r="E27" s="50"/>
      <c r="F27" s="50"/>
      <c r="G27" s="50"/>
      <c r="H27" s="50"/>
      <c r="I27" s="50"/>
      <c r="J27" s="50"/>
      <c r="K27" s="50"/>
      <c r="L27" s="50"/>
      <c r="M27" s="50"/>
      <c r="N27" s="50"/>
      <c r="O27" s="50"/>
      <c r="P27" s="50"/>
      <c r="Q27" s="50"/>
      <c r="R27" s="50"/>
      <c r="S27" s="50"/>
      <c r="T27" s="50"/>
      <c r="U27" s="50"/>
      <c r="V27" s="50"/>
      <c r="W27" s="50"/>
      <c r="X27" s="51"/>
    </row>
    <row r="28" ht="15.75" customHeight="1">
      <c r="A28" s="488" t="s">
        <v>845</v>
      </c>
      <c r="B28" s="50"/>
      <c r="C28" s="50"/>
      <c r="D28" s="50"/>
      <c r="E28" s="50"/>
      <c r="F28" s="50"/>
      <c r="G28" s="50"/>
      <c r="H28" s="50"/>
      <c r="I28" s="50"/>
      <c r="J28" s="50"/>
      <c r="K28" s="50"/>
      <c r="L28" s="50"/>
      <c r="M28" s="50"/>
      <c r="N28" s="50"/>
      <c r="O28" s="50"/>
      <c r="P28" s="50"/>
      <c r="Q28" s="50"/>
      <c r="R28" s="50"/>
      <c r="S28" s="50"/>
      <c r="T28" s="50"/>
      <c r="U28" s="50"/>
      <c r="V28" s="50"/>
      <c r="W28" s="50"/>
      <c r="X28" s="51"/>
    </row>
    <row r="29" ht="15.75" customHeight="1">
      <c r="A29" s="489" t="s">
        <v>846</v>
      </c>
      <c r="B29" s="50"/>
      <c r="C29" s="50"/>
      <c r="D29" s="50"/>
      <c r="E29" s="50"/>
      <c r="F29" s="50"/>
      <c r="G29" s="50"/>
      <c r="H29" s="50"/>
      <c r="I29" s="50"/>
      <c r="J29" s="50"/>
      <c r="K29" s="50"/>
      <c r="L29" s="51"/>
      <c r="M29" s="489" t="s">
        <v>234</v>
      </c>
      <c r="N29" s="50"/>
      <c r="O29" s="50"/>
      <c r="P29" s="50"/>
      <c r="Q29" s="50"/>
      <c r="R29" s="50"/>
      <c r="S29" s="51"/>
      <c r="T29" s="489" t="s">
        <v>235</v>
      </c>
      <c r="U29" s="50"/>
      <c r="V29" s="50"/>
      <c r="W29" s="50"/>
      <c r="X29" s="51"/>
    </row>
    <row r="30" ht="15.75" customHeight="1">
      <c r="A30" s="503" t="s">
        <v>847</v>
      </c>
      <c r="B30" s="18"/>
      <c r="C30" s="18"/>
      <c r="D30" s="18"/>
      <c r="E30" s="18"/>
      <c r="F30" s="18"/>
      <c r="G30" s="18"/>
      <c r="H30" s="18"/>
      <c r="I30" s="18"/>
      <c r="J30" s="18"/>
      <c r="K30" s="18"/>
      <c r="L30" s="33"/>
      <c r="M30" s="498" t="s">
        <v>848</v>
      </c>
      <c r="N30" s="18"/>
      <c r="O30" s="18"/>
      <c r="P30" s="18"/>
      <c r="Q30" s="18"/>
      <c r="R30" s="18"/>
      <c r="S30" s="33"/>
      <c r="T30" s="498" t="s">
        <v>849</v>
      </c>
      <c r="U30" s="18"/>
      <c r="V30" s="18"/>
      <c r="W30" s="18"/>
      <c r="X30" s="19"/>
    </row>
    <row r="31" ht="15.75" customHeight="1">
      <c r="A31" s="504" t="s">
        <v>850</v>
      </c>
      <c r="B31" s="22"/>
      <c r="C31" s="22"/>
      <c r="D31" s="22"/>
      <c r="E31" s="22"/>
      <c r="F31" s="22"/>
      <c r="G31" s="22"/>
      <c r="H31" s="22"/>
      <c r="I31" s="22"/>
      <c r="J31" s="22"/>
      <c r="K31" s="22"/>
      <c r="L31" s="12"/>
      <c r="M31" s="500" t="s">
        <v>379</v>
      </c>
      <c r="N31" s="22"/>
      <c r="O31" s="22"/>
      <c r="P31" s="22"/>
      <c r="Q31" s="22"/>
      <c r="R31" s="22"/>
      <c r="S31" s="12"/>
      <c r="T31" s="500" t="s">
        <v>849</v>
      </c>
      <c r="U31" s="22"/>
      <c r="V31" s="22"/>
      <c r="W31" s="22"/>
      <c r="X31" s="23"/>
    </row>
    <row r="32" ht="15.75" customHeight="1">
      <c r="A32" s="505" t="s">
        <v>851</v>
      </c>
      <c r="B32" s="47"/>
      <c r="C32" s="47"/>
      <c r="D32" s="47"/>
      <c r="E32" s="47"/>
      <c r="F32" s="47"/>
      <c r="G32" s="47"/>
      <c r="H32" s="47"/>
      <c r="I32" s="47"/>
      <c r="J32" s="47"/>
      <c r="K32" s="47"/>
      <c r="L32" s="43"/>
      <c r="M32" s="502" t="s">
        <v>848</v>
      </c>
      <c r="N32" s="47"/>
      <c r="O32" s="47"/>
      <c r="P32" s="47"/>
      <c r="Q32" s="47"/>
      <c r="R32" s="47"/>
      <c r="S32" s="43"/>
      <c r="T32" s="502" t="s">
        <v>849</v>
      </c>
      <c r="U32" s="47"/>
      <c r="V32" s="47"/>
      <c r="W32" s="47"/>
      <c r="X32" s="48"/>
    </row>
    <row r="33" ht="15.75" customHeight="1">
      <c r="A33" s="489" t="s">
        <v>180</v>
      </c>
      <c r="B33" s="50"/>
      <c r="C33" s="50"/>
      <c r="D33" s="50"/>
      <c r="E33" s="50"/>
      <c r="F33" s="50"/>
      <c r="G33" s="50"/>
      <c r="H33" s="50"/>
      <c r="I33" s="50"/>
      <c r="J33" s="50"/>
      <c r="K33" s="50"/>
      <c r="L33" s="50"/>
      <c r="M33" s="50"/>
      <c r="N33" s="50"/>
      <c r="O33" s="50"/>
      <c r="P33" s="50"/>
      <c r="Q33" s="50"/>
      <c r="R33" s="50"/>
      <c r="S33" s="50"/>
      <c r="T33" s="50"/>
      <c r="U33" s="50"/>
      <c r="V33" s="50"/>
      <c r="W33" s="50"/>
      <c r="X33" s="51"/>
    </row>
    <row r="34" ht="15.75" customHeight="1">
      <c r="A34" s="488" t="s">
        <v>852</v>
      </c>
      <c r="B34" s="50"/>
      <c r="C34" s="50"/>
      <c r="D34" s="50"/>
      <c r="E34" s="50"/>
      <c r="F34" s="50"/>
      <c r="G34" s="50"/>
      <c r="H34" s="50"/>
      <c r="I34" s="50"/>
      <c r="J34" s="50"/>
      <c r="K34" s="50"/>
      <c r="L34" s="50"/>
      <c r="M34" s="50"/>
      <c r="N34" s="50"/>
      <c r="O34" s="50"/>
      <c r="P34" s="50"/>
      <c r="Q34" s="50"/>
      <c r="R34" s="50"/>
      <c r="S34" s="50"/>
      <c r="T34" s="50"/>
      <c r="U34" s="50"/>
      <c r="V34" s="50"/>
      <c r="W34" s="50"/>
      <c r="X34" s="51"/>
    </row>
    <row r="35" ht="15.75" customHeight="1">
      <c r="A35" s="506" t="s">
        <v>853</v>
      </c>
      <c r="B35" s="18"/>
      <c r="C35" s="18"/>
      <c r="D35" s="33"/>
      <c r="E35" s="498" t="s">
        <v>854</v>
      </c>
      <c r="F35" s="18"/>
      <c r="G35" s="18"/>
      <c r="H35" s="18"/>
      <c r="I35" s="18"/>
      <c r="J35" s="18"/>
      <c r="K35" s="18"/>
      <c r="L35" s="33"/>
      <c r="M35" s="507" t="s">
        <v>855</v>
      </c>
      <c r="N35" s="18"/>
      <c r="O35" s="18"/>
      <c r="P35" s="33"/>
      <c r="Q35" s="498" t="s">
        <v>854</v>
      </c>
      <c r="R35" s="18"/>
      <c r="S35" s="18"/>
      <c r="T35" s="18"/>
      <c r="U35" s="18"/>
      <c r="V35" s="18"/>
      <c r="W35" s="18"/>
      <c r="X35" s="19"/>
    </row>
    <row r="36" ht="15.75" customHeight="1">
      <c r="A36" s="508" t="s">
        <v>559</v>
      </c>
      <c r="B36" s="47"/>
      <c r="C36" s="47"/>
      <c r="D36" s="43"/>
      <c r="E36" s="502" t="s">
        <v>507</v>
      </c>
      <c r="F36" s="47"/>
      <c r="G36" s="47"/>
      <c r="H36" s="47"/>
      <c r="I36" s="47"/>
      <c r="J36" s="47"/>
      <c r="K36" s="47"/>
      <c r="L36" s="43"/>
      <c r="M36" s="509" t="s">
        <v>559</v>
      </c>
      <c r="N36" s="47"/>
      <c r="O36" s="47"/>
      <c r="P36" s="43"/>
      <c r="Q36" s="502" t="s">
        <v>507</v>
      </c>
      <c r="R36" s="47"/>
      <c r="S36" s="47"/>
      <c r="T36" s="47"/>
      <c r="U36" s="47"/>
      <c r="V36" s="47"/>
      <c r="W36" s="47"/>
      <c r="X36" s="48"/>
    </row>
    <row r="37" ht="15.75" customHeight="1">
      <c r="V37" s="510"/>
      <c r="W37" s="510"/>
      <c r="X37" s="510"/>
    </row>
    <row r="38" ht="15.75" customHeight="1">
      <c r="V38" s="510"/>
      <c r="W38" s="510"/>
      <c r="X38" s="510"/>
    </row>
    <row r="39" ht="15.75" customHeight="1">
      <c r="V39" s="510"/>
      <c r="W39" s="510"/>
      <c r="X39" s="510"/>
    </row>
    <row r="40" ht="15.75" customHeight="1">
      <c r="A40" s="510"/>
      <c r="B40" s="510"/>
      <c r="C40" s="510"/>
      <c r="D40" s="510"/>
      <c r="E40" s="510"/>
      <c r="F40" s="510"/>
      <c r="G40" s="510"/>
      <c r="H40" s="510"/>
      <c r="I40" s="510"/>
      <c r="J40" s="510"/>
      <c r="K40" s="510"/>
      <c r="L40" s="510"/>
      <c r="M40" s="510"/>
      <c r="N40" s="510"/>
      <c r="O40" s="510"/>
      <c r="P40" s="510"/>
      <c r="Q40" s="510"/>
      <c r="R40" s="510"/>
      <c r="S40" s="510"/>
      <c r="T40" s="510"/>
      <c r="U40" s="510"/>
      <c r="V40" s="510"/>
      <c r="W40" s="510"/>
      <c r="X40" s="510"/>
    </row>
    <row r="41" ht="15.75" customHeight="1">
      <c r="A41" s="510"/>
      <c r="B41" s="510"/>
      <c r="C41" s="510"/>
      <c r="D41" s="510"/>
      <c r="E41" s="510"/>
      <c r="F41" s="510"/>
      <c r="G41" s="510"/>
      <c r="H41" s="510"/>
      <c r="I41" s="510"/>
      <c r="J41" s="510"/>
      <c r="K41" s="510"/>
      <c r="L41" s="510"/>
      <c r="M41" s="510"/>
      <c r="N41" s="510"/>
      <c r="O41" s="510"/>
      <c r="P41" s="510"/>
      <c r="Q41" s="510"/>
      <c r="R41" s="510"/>
      <c r="S41" s="510"/>
      <c r="T41" s="510"/>
      <c r="U41" s="510"/>
      <c r="V41" s="510"/>
      <c r="W41" s="510"/>
      <c r="X41" s="510"/>
    </row>
    <row r="42" ht="15.75" customHeight="1">
      <c r="A42" s="510"/>
      <c r="B42" s="510"/>
      <c r="C42" s="510"/>
      <c r="D42" s="510"/>
      <c r="E42" s="510"/>
      <c r="F42" s="510"/>
      <c r="G42" s="510"/>
      <c r="H42" s="510"/>
      <c r="I42" s="510"/>
      <c r="J42" s="510"/>
      <c r="K42" s="510"/>
      <c r="L42" s="510"/>
      <c r="M42" s="510"/>
      <c r="N42" s="510"/>
      <c r="O42" s="510"/>
      <c r="P42" s="510"/>
      <c r="Q42" s="510"/>
      <c r="R42" s="510"/>
      <c r="S42" s="510"/>
      <c r="T42" s="510"/>
      <c r="U42" s="510"/>
      <c r="V42" s="510"/>
      <c r="W42" s="510"/>
      <c r="X42" s="510"/>
    </row>
    <row r="43" ht="15.75" customHeight="1">
      <c r="A43" s="510"/>
      <c r="B43" s="510"/>
      <c r="C43" s="510"/>
      <c r="D43" s="510"/>
      <c r="E43" s="510"/>
      <c r="F43" s="510"/>
      <c r="G43" s="510"/>
      <c r="H43" s="510"/>
      <c r="I43" s="510"/>
      <c r="J43" s="510"/>
      <c r="K43" s="510"/>
      <c r="L43" s="510"/>
      <c r="M43" s="510"/>
      <c r="N43" s="510"/>
      <c r="O43" s="510"/>
      <c r="P43" s="510"/>
      <c r="Q43" s="510"/>
      <c r="R43" s="510"/>
      <c r="S43" s="510"/>
      <c r="T43" s="510"/>
      <c r="U43" s="510"/>
      <c r="V43" s="510"/>
      <c r="W43" s="510"/>
      <c r="X43" s="510"/>
    </row>
    <row r="44" ht="15.75" customHeight="1">
      <c r="A44" s="510"/>
      <c r="B44" s="510"/>
      <c r="C44" s="510"/>
      <c r="D44" s="510"/>
      <c r="E44" s="510"/>
      <c r="F44" s="510"/>
      <c r="G44" s="510"/>
      <c r="H44" s="510"/>
      <c r="I44" s="510"/>
      <c r="J44" s="510"/>
      <c r="K44" s="510"/>
      <c r="L44" s="510"/>
      <c r="M44" s="510"/>
      <c r="N44" s="510"/>
      <c r="O44" s="510"/>
      <c r="P44" s="510"/>
      <c r="Q44" s="510"/>
      <c r="R44" s="510"/>
      <c r="S44" s="510"/>
      <c r="T44" s="510"/>
      <c r="U44" s="510"/>
      <c r="V44" s="510"/>
      <c r="W44" s="510"/>
      <c r="X44" s="510"/>
    </row>
    <row r="45" ht="15.75" customHeight="1">
      <c r="A45" s="510"/>
      <c r="B45" s="510"/>
      <c r="C45" s="510"/>
      <c r="D45" s="510"/>
      <c r="E45" s="510"/>
      <c r="F45" s="510"/>
      <c r="G45" s="510"/>
      <c r="H45" s="510"/>
      <c r="I45" s="510"/>
      <c r="J45" s="510"/>
      <c r="K45" s="510"/>
      <c r="L45" s="510"/>
      <c r="M45" s="510"/>
      <c r="N45" s="510"/>
      <c r="O45" s="510"/>
      <c r="P45" s="510"/>
      <c r="Q45" s="510"/>
      <c r="R45" s="510"/>
      <c r="S45" s="510"/>
      <c r="T45" s="510"/>
      <c r="U45" s="510"/>
      <c r="V45" s="510"/>
      <c r="W45" s="510"/>
      <c r="X45" s="510"/>
    </row>
    <row r="46" ht="15.75" customHeight="1">
      <c r="A46" s="510"/>
      <c r="B46" s="510"/>
      <c r="C46" s="510"/>
      <c r="D46" s="510"/>
      <c r="E46" s="510"/>
      <c r="F46" s="510"/>
      <c r="G46" s="510"/>
      <c r="H46" s="510"/>
      <c r="I46" s="510"/>
      <c r="J46" s="510"/>
      <c r="K46" s="510"/>
      <c r="L46" s="510"/>
      <c r="M46" s="510"/>
      <c r="N46" s="510"/>
      <c r="O46" s="510"/>
      <c r="P46" s="510"/>
      <c r="Q46" s="510"/>
      <c r="R46" s="510"/>
      <c r="S46" s="510"/>
      <c r="T46" s="510"/>
      <c r="U46" s="510"/>
      <c r="V46" s="510"/>
      <c r="W46" s="510"/>
      <c r="X46" s="510"/>
    </row>
    <row r="47" ht="15.75" customHeight="1">
      <c r="A47" s="510"/>
      <c r="B47" s="510"/>
      <c r="C47" s="510"/>
      <c r="D47" s="510"/>
      <c r="E47" s="510"/>
      <c r="F47" s="510"/>
      <c r="G47" s="510"/>
      <c r="H47" s="510"/>
      <c r="I47" s="510"/>
      <c r="J47" s="510"/>
      <c r="K47" s="510"/>
      <c r="L47" s="510"/>
      <c r="M47" s="510"/>
      <c r="N47" s="510"/>
      <c r="O47" s="510"/>
      <c r="P47" s="510"/>
      <c r="Q47" s="510"/>
      <c r="R47" s="510"/>
      <c r="S47" s="510"/>
      <c r="T47" s="510"/>
      <c r="U47" s="510"/>
      <c r="V47" s="510"/>
      <c r="W47" s="510"/>
      <c r="X47" s="51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6">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E10"/>
    <mergeCell ref="F10:P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2:E12"/>
    <mergeCell ref="A13:E13"/>
    <mergeCell ref="B26:G26"/>
    <mergeCell ref="H26:S26"/>
    <mergeCell ref="T26:X26"/>
    <mergeCell ref="A27:X27"/>
    <mergeCell ref="A28:X28"/>
    <mergeCell ref="M29:S29"/>
    <mergeCell ref="T29:X29"/>
    <mergeCell ref="A29:L29"/>
    <mergeCell ref="A30:L30"/>
    <mergeCell ref="M30:S30"/>
    <mergeCell ref="T30:X30"/>
    <mergeCell ref="A31:L31"/>
    <mergeCell ref="M31:S31"/>
    <mergeCell ref="T31:X31"/>
    <mergeCell ref="M35:P35"/>
    <mergeCell ref="Q35:X35"/>
    <mergeCell ref="A32:L32"/>
    <mergeCell ref="M32:S32"/>
    <mergeCell ref="T32:X32"/>
    <mergeCell ref="A33:X33"/>
    <mergeCell ref="A34:X34"/>
    <mergeCell ref="A35:D35"/>
    <mergeCell ref="E35:L35"/>
    <mergeCell ref="A11:E11"/>
    <mergeCell ref="F11:P11"/>
    <mergeCell ref="Q11:T11"/>
    <mergeCell ref="U11:X11"/>
    <mergeCell ref="F12:P12"/>
    <mergeCell ref="Q12:T12"/>
    <mergeCell ref="U12:X12"/>
    <mergeCell ref="A17:D17"/>
    <mergeCell ref="A18:D18"/>
    <mergeCell ref="A19:D19"/>
    <mergeCell ref="F13:X13"/>
    <mergeCell ref="A14:X14"/>
    <mergeCell ref="A15:X15"/>
    <mergeCell ref="A16:X16"/>
    <mergeCell ref="E17:L17"/>
    <mergeCell ref="M17:P17"/>
    <mergeCell ref="Q17:X17"/>
    <mergeCell ref="E18:X18"/>
    <mergeCell ref="E19:X19"/>
    <mergeCell ref="A20:X20"/>
    <mergeCell ref="A21:X21"/>
    <mergeCell ref="B22:G22"/>
    <mergeCell ref="H22:S22"/>
    <mergeCell ref="T22:X22"/>
    <mergeCell ref="H25:S25"/>
    <mergeCell ref="T25:X25"/>
    <mergeCell ref="B23:G23"/>
    <mergeCell ref="H23:S23"/>
    <mergeCell ref="T23:X23"/>
    <mergeCell ref="B24:G24"/>
    <mergeCell ref="H24:S24"/>
    <mergeCell ref="T24:X24"/>
    <mergeCell ref="B25:G25"/>
    <mergeCell ref="A36:D36"/>
    <mergeCell ref="E36:L36"/>
    <mergeCell ref="M36:P36"/>
    <mergeCell ref="Q36:X36"/>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13"/>
    <col customWidth="1" min="2" max="2" width="15.13"/>
    <col customWidth="1" min="3" max="3" width="10.13"/>
    <col customWidth="1" min="4" max="4" width="21.38"/>
    <col customWidth="1" min="5" max="5" width="16.38"/>
    <col customWidth="1" min="6" max="6" width="18.88"/>
  </cols>
  <sheetData>
    <row r="1" ht="22.5" customHeight="1">
      <c r="A1" s="511"/>
      <c r="C1" s="512"/>
      <c r="D1" s="512"/>
      <c r="E1" s="512"/>
      <c r="F1" s="513" t="s">
        <v>856</v>
      </c>
    </row>
    <row r="2">
      <c r="A2" s="514" t="s">
        <v>17</v>
      </c>
      <c r="B2" s="512"/>
      <c r="C2" s="512"/>
      <c r="D2" s="512"/>
      <c r="E2" s="512"/>
    </row>
    <row r="3">
      <c r="A3" s="515" t="s">
        <v>857</v>
      </c>
      <c r="B3" s="516"/>
      <c r="C3" s="516"/>
      <c r="D3" s="512"/>
      <c r="E3" s="517" t="s">
        <v>858</v>
      </c>
      <c r="F3" s="518" t="s">
        <v>859</v>
      </c>
    </row>
    <row r="4">
      <c r="A4" s="519" t="s">
        <v>860</v>
      </c>
      <c r="B4" s="512"/>
      <c r="C4" s="512"/>
      <c r="D4" s="512"/>
      <c r="E4" s="517" t="s">
        <v>861</v>
      </c>
      <c r="F4" s="520" t="s">
        <v>862</v>
      </c>
    </row>
    <row r="5">
      <c r="A5" s="519" t="s">
        <v>863</v>
      </c>
      <c r="B5" s="512"/>
      <c r="C5" s="512"/>
      <c r="D5" s="512"/>
      <c r="E5" s="517" t="s">
        <v>864</v>
      </c>
      <c r="F5" s="521">
        <v>46118.0</v>
      </c>
    </row>
    <row r="6">
      <c r="A6" s="522"/>
      <c r="B6" s="522"/>
      <c r="C6" s="522"/>
      <c r="D6" s="512"/>
      <c r="E6" s="517" t="s">
        <v>865</v>
      </c>
      <c r="F6" s="518" t="s">
        <v>866</v>
      </c>
    </row>
    <row r="7">
      <c r="A7" s="519" t="s">
        <v>867</v>
      </c>
      <c r="B7" s="512"/>
      <c r="C7" s="512"/>
      <c r="D7" s="512"/>
      <c r="E7" s="523" t="s">
        <v>868</v>
      </c>
      <c r="F7" s="524" t="s">
        <v>194</v>
      </c>
    </row>
    <row r="8">
      <c r="A8" s="525" t="s">
        <v>869</v>
      </c>
      <c r="B8" s="512"/>
      <c r="C8" s="512"/>
      <c r="D8" s="512"/>
      <c r="E8" s="526" t="s">
        <v>707</v>
      </c>
      <c r="F8" s="518" t="s">
        <v>708</v>
      </c>
    </row>
    <row r="9">
      <c r="A9" s="519"/>
      <c r="B9" s="512"/>
      <c r="C9" s="512"/>
      <c r="D9" s="512"/>
      <c r="E9" s="512"/>
      <c r="F9" s="512"/>
    </row>
    <row r="10">
      <c r="A10" s="527"/>
      <c r="B10" s="527"/>
      <c r="C10" s="527"/>
      <c r="D10" s="527"/>
      <c r="E10" s="527"/>
      <c r="F10" s="527"/>
    </row>
    <row r="11">
      <c r="A11" s="528" t="s">
        <v>870</v>
      </c>
      <c r="B11" s="529"/>
      <c r="C11" s="529"/>
      <c r="D11" s="512"/>
      <c r="E11" s="528" t="s">
        <v>871</v>
      </c>
      <c r="F11" s="529"/>
    </row>
    <row r="12">
      <c r="A12" s="519" t="s">
        <v>24</v>
      </c>
      <c r="B12" s="512"/>
      <c r="C12" s="512"/>
      <c r="D12" s="512"/>
      <c r="E12" s="526" t="s">
        <v>872</v>
      </c>
      <c r="F12" s="530" t="s">
        <v>121</v>
      </c>
    </row>
    <row r="13">
      <c r="A13" s="519" t="s">
        <v>873</v>
      </c>
      <c r="B13" s="512"/>
      <c r="C13" s="512"/>
      <c r="D13" s="512"/>
      <c r="E13" s="519" t="s">
        <v>874</v>
      </c>
      <c r="F13" s="530" t="s">
        <v>202</v>
      </c>
    </row>
    <row r="14">
      <c r="A14" s="519" t="s">
        <v>875</v>
      </c>
      <c r="B14" s="512"/>
      <c r="C14" s="512"/>
      <c r="D14" s="512"/>
      <c r="E14" s="519" t="s">
        <v>876</v>
      </c>
      <c r="F14" s="530" t="s">
        <v>192</v>
      </c>
    </row>
    <row r="15">
      <c r="A15" s="519" t="s">
        <v>877</v>
      </c>
      <c r="B15" s="512"/>
      <c r="C15" s="512"/>
      <c r="D15" s="512"/>
      <c r="E15" s="526" t="s">
        <v>878</v>
      </c>
      <c r="F15" s="531" t="s">
        <v>145</v>
      </c>
    </row>
    <row r="16">
      <c r="A16" s="532" t="s">
        <v>879</v>
      </c>
      <c r="B16" s="533"/>
      <c r="C16" s="534"/>
      <c r="D16" s="512"/>
      <c r="E16" s="519" t="s">
        <v>880</v>
      </c>
      <c r="F16" s="535" t="s">
        <v>713</v>
      </c>
    </row>
    <row r="17">
      <c r="A17" s="536" t="s">
        <v>881</v>
      </c>
      <c r="B17" s="537"/>
      <c r="C17" s="537"/>
      <c r="D17" s="512"/>
      <c r="E17" s="512"/>
      <c r="F17" s="512"/>
    </row>
    <row r="18">
      <c r="A18" s="512"/>
      <c r="B18" s="512"/>
      <c r="C18" s="512"/>
      <c r="D18" s="512"/>
      <c r="E18" s="512"/>
      <c r="F18" s="512"/>
    </row>
    <row r="19">
      <c r="A19" s="538" t="s">
        <v>882</v>
      </c>
      <c r="B19" s="539"/>
      <c r="C19" s="539"/>
      <c r="D19" s="539"/>
      <c r="E19" s="539"/>
      <c r="F19" s="539"/>
    </row>
    <row r="20">
      <c r="A20" s="530" t="s">
        <v>883</v>
      </c>
    </row>
    <row r="21">
      <c r="A21" s="512"/>
      <c r="B21" s="512"/>
      <c r="C21" s="512"/>
      <c r="D21" s="512"/>
      <c r="E21" s="512"/>
      <c r="F21" s="512"/>
    </row>
    <row r="22">
      <c r="A22" s="540" t="s">
        <v>884</v>
      </c>
      <c r="B22" s="541" t="s">
        <v>40</v>
      </c>
      <c r="C22" s="86"/>
      <c r="D22" s="86"/>
      <c r="E22" s="27"/>
      <c r="F22" s="542" t="s">
        <v>885</v>
      </c>
    </row>
    <row r="23">
      <c r="A23" s="543">
        <v>1.0</v>
      </c>
      <c r="B23" s="544" t="str">
        <f>'D1.15 Project Brief &amp; Draft Bud'!D36</f>
        <v>Reverse Engineering &amp; 3D Modeling</v>
      </c>
      <c r="C23" s="152"/>
      <c r="D23" s="152"/>
      <c r="E23" s="152"/>
      <c r="F23" s="545">
        <f>'D1.15 Project Brief &amp; Draft Bud'!P36</f>
        <v>3312</v>
      </c>
    </row>
    <row r="24">
      <c r="A24" s="546">
        <v>2.0</v>
      </c>
      <c r="B24" s="519" t="str">
        <f>'D1.15 Project Brief &amp; Draft Bud'!D37</f>
        <v>Technical Drawing Package (ISO Standard)</v>
      </c>
      <c r="F24" s="547">
        <f>'D1.15 Project Brief &amp; Draft Bud'!P37</f>
        <v>662.4</v>
      </c>
    </row>
    <row r="25">
      <c r="A25" s="546">
        <v>3.0</v>
      </c>
      <c r="B25" s="519" t="str">
        <f>'D1.15 Project Brief &amp; Draft Bud'!D38</f>
        <v>Patent Drawing Development (Compliance Formatting)</v>
      </c>
      <c r="F25" s="547">
        <f>'D1.15 Project Brief &amp; Draft Bud'!P38</f>
        <v>993.6</v>
      </c>
    </row>
    <row r="26">
      <c r="A26" s="546">
        <v>4.0</v>
      </c>
      <c r="B26" s="519" t="str">
        <f>'D1.15 Project Brief &amp; Draft Bud'!D39</f>
        <v>Measurement, proportionation &amp; Validation </v>
      </c>
      <c r="F26" s="547">
        <f>'D1.15 Project Brief &amp; Draft Bud'!P39</f>
        <v>331.2</v>
      </c>
    </row>
    <row r="27">
      <c r="A27" s="546">
        <v>5.0</v>
      </c>
      <c r="B27" s="519" t="str">
        <f>'D1.15 Project Brief &amp; Draft Bud'!D40</f>
        <v>Rendering &amp; Documentation Packaging</v>
      </c>
      <c r="F27" s="547">
        <f>'D1.15 Project Brief &amp; Draft Bud'!P40</f>
        <v>1324.8</v>
      </c>
    </row>
    <row r="28">
      <c r="A28" s="548"/>
      <c r="B28" s="512"/>
      <c r="F28" s="549"/>
    </row>
    <row r="29">
      <c r="A29" s="550"/>
      <c r="B29" s="522"/>
      <c r="C29" s="57"/>
      <c r="D29" s="57"/>
      <c r="E29" s="57"/>
      <c r="F29" s="551"/>
    </row>
    <row r="30">
      <c r="A30" s="552" t="s">
        <v>797</v>
      </c>
      <c r="B30" s="18"/>
      <c r="C30" s="18"/>
      <c r="D30" s="18"/>
      <c r="E30" s="33"/>
      <c r="F30" s="553">
        <f>sum(F23:F29)</f>
        <v>6624</v>
      </c>
    </row>
    <row r="31">
      <c r="A31" s="554" t="s">
        <v>886</v>
      </c>
      <c r="B31" s="22"/>
      <c r="C31" s="22"/>
      <c r="D31" s="22"/>
      <c r="E31" s="12"/>
      <c r="F31" s="555">
        <f>F30</f>
        <v>6624</v>
      </c>
    </row>
    <row r="32">
      <c r="A32" s="512"/>
      <c r="B32" s="512"/>
      <c r="C32" s="512"/>
      <c r="D32" s="512"/>
      <c r="E32" s="512"/>
      <c r="F32" s="512"/>
    </row>
    <row r="33">
      <c r="A33" s="556" t="s">
        <v>887</v>
      </c>
      <c r="B33" s="537"/>
      <c r="C33" s="537"/>
      <c r="D33" s="512"/>
      <c r="E33" s="556" t="s">
        <v>888</v>
      </c>
      <c r="F33" s="537"/>
    </row>
    <row r="34">
      <c r="A34" s="519" t="s">
        <v>889</v>
      </c>
      <c r="B34" s="512"/>
      <c r="C34" s="557">
        <f>F31</f>
        <v>6624</v>
      </c>
      <c r="D34" s="512"/>
      <c r="E34" s="519" t="s">
        <v>890</v>
      </c>
      <c r="F34" s="558" t="s">
        <v>891</v>
      </c>
    </row>
    <row r="35">
      <c r="A35" s="519" t="s">
        <v>892</v>
      </c>
      <c r="B35" s="512"/>
      <c r="C35" s="559">
        <f>F31*50%</f>
        <v>3312</v>
      </c>
      <c r="D35" s="512"/>
      <c r="E35" s="519" t="s">
        <v>893</v>
      </c>
      <c r="F35" s="558" t="s">
        <v>24</v>
      </c>
    </row>
    <row r="36">
      <c r="A36" s="512"/>
      <c r="B36" s="512"/>
      <c r="C36" s="512"/>
      <c r="D36" s="512"/>
      <c r="E36" s="519" t="s">
        <v>894</v>
      </c>
      <c r="F36" s="560">
        <v>1.050432877614E12</v>
      </c>
    </row>
    <row r="37">
      <c r="A37" s="561" t="s">
        <v>895</v>
      </c>
      <c r="B37" s="512"/>
      <c r="C37" s="512"/>
      <c r="D37" s="512"/>
      <c r="E37" s="519" t="s">
        <v>896</v>
      </c>
      <c r="F37" s="558" t="s">
        <v>897</v>
      </c>
    </row>
    <row r="38">
      <c r="A38" s="519" t="s">
        <v>858</v>
      </c>
      <c r="B38" s="512"/>
      <c r="C38" s="519" t="str">
        <f>F3</f>
        <v>IMHO-INV26-ADV-012</v>
      </c>
      <c r="D38" s="512"/>
      <c r="E38" s="512"/>
      <c r="F38" s="512"/>
    </row>
    <row r="39">
      <c r="A39" s="512"/>
      <c r="B39" s="512"/>
      <c r="C39" s="512"/>
      <c r="D39" s="512"/>
      <c r="E39" s="512"/>
      <c r="F39" s="512"/>
    </row>
    <row r="40">
      <c r="A40" s="562" t="s">
        <v>898</v>
      </c>
      <c r="B40" s="537"/>
      <c r="C40" s="537"/>
      <c r="D40" s="537"/>
      <c r="E40" s="537"/>
      <c r="F40" s="512"/>
    </row>
    <row r="41">
      <c r="A41" s="563" t="s">
        <v>899</v>
      </c>
      <c r="B41" s="564"/>
      <c r="C41" s="564"/>
      <c r="D41" s="564"/>
      <c r="E41" s="564"/>
      <c r="F41" s="512"/>
    </row>
    <row r="42">
      <c r="A42" s="563" t="s">
        <v>900</v>
      </c>
      <c r="B42" s="564"/>
      <c r="C42" s="564"/>
      <c r="D42" s="564"/>
      <c r="E42" s="564"/>
      <c r="F42" s="512"/>
    </row>
    <row r="43">
      <c r="A43" s="565" t="s">
        <v>901</v>
      </c>
      <c r="F43" s="512"/>
    </row>
    <row r="44">
      <c r="A44" s="566"/>
      <c r="B44" s="566"/>
      <c r="C44" s="566"/>
      <c r="D44" s="566"/>
      <c r="E44" s="566"/>
      <c r="F44" s="566"/>
    </row>
    <row r="45">
      <c r="A45" s="563" t="s">
        <v>902</v>
      </c>
    </row>
    <row r="46">
      <c r="A46" s="567" t="s">
        <v>903</v>
      </c>
    </row>
  </sheetData>
  <mergeCells count="17">
    <mergeCell ref="A1:B1"/>
    <mergeCell ref="F1:F2"/>
    <mergeCell ref="A16:C16"/>
    <mergeCell ref="A20:F20"/>
    <mergeCell ref="B22:E22"/>
    <mergeCell ref="B23:E23"/>
    <mergeCell ref="B24:E24"/>
    <mergeCell ref="A43:E43"/>
    <mergeCell ref="A45:F45"/>
    <mergeCell ref="A46:F46"/>
    <mergeCell ref="B25:E25"/>
    <mergeCell ref="B26:E26"/>
    <mergeCell ref="B27:E27"/>
    <mergeCell ref="B28:E28"/>
    <mergeCell ref="B29:E29"/>
    <mergeCell ref="A30:E30"/>
    <mergeCell ref="A31:E31"/>
  </mergeCells>
  <printOptions horizontalCentered="1"/>
  <pageMargins bottom="0.75" footer="0.0" header="0.0" left="0.7" right="0.7" top="0.15"/>
  <pageSetup fitToHeight="0" paperSize="9" cellComments="atEnd" orientation="portrait" pageOrder="overThenDown"/>
  <drawing r:id="rId1"/>
</worksheet>
</file>